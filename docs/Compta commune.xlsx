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39.xml"/>
  <Override ContentType="application/vnd.openxmlformats-officedocument.spreadsheetml.comments+xml" PartName="/xl/comments26.xml"/>
  <Override ContentType="application/vnd.openxmlformats-officedocument.spreadsheetml.comments+xml" PartName="/xl/comments34.xml"/>
  <Override ContentType="application/vnd.openxmlformats-officedocument.spreadsheetml.comments+xml" PartName="/xl/comments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7.xml"/>
  <Override ContentType="application/vnd.openxmlformats-officedocument.spreadsheetml.comments+xml" PartName="/xl/comments4.xml"/>
  <Override ContentType="application/vnd.openxmlformats-officedocument.spreadsheetml.comments+xml" PartName="/xl/comments43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22.xml"/>
  <Override ContentType="application/vnd.openxmlformats-officedocument.spreadsheetml.comments+xml" PartName="/xl/comments48.xml"/>
  <Override ContentType="application/vnd.openxmlformats-officedocument.spreadsheetml.comments+xml" PartName="/xl/comments31.xml"/>
  <Override ContentType="application/vnd.openxmlformats-officedocument.spreadsheetml.comments+xml" PartName="/xl/comments44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40.xml"/>
  <Override ContentType="application/vnd.openxmlformats-officedocument.spreadsheetml.comments+xml" PartName="/xl/comments45.xml"/>
  <Override ContentType="application/vnd.openxmlformats-officedocument.spreadsheetml.comments+xml" PartName="/xl/comments7.xml"/>
  <Override ContentType="application/vnd.openxmlformats-officedocument.spreadsheetml.comments+xml" PartName="/xl/comments32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37.xml"/>
  <Override ContentType="application/vnd.openxmlformats-officedocument.spreadsheetml.comments+xml" PartName="/xl/comments24.xml"/>
  <Override ContentType="application/vnd.openxmlformats-officedocument.spreadsheetml.comments+xml" PartName="/xl/comments36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41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46.xml"/>
  <Override ContentType="application/vnd.openxmlformats-officedocument.spreadsheetml.comments+xml" PartName="/xl/comments33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38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4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illet 2023" sheetId="1" r:id="rId4"/>
    <sheet state="visible" name="août 2023" sheetId="2" r:id="rId5"/>
    <sheet state="visible" name="septembre 2023" sheetId="3" r:id="rId6"/>
    <sheet state="visible" name="octobre 2023" sheetId="4" r:id="rId7"/>
    <sheet state="visible" name="novembre 2023" sheetId="5" r:id="rId8"/>
    <sheet state="visible" name="décembre 2023" sheetId="6" r:id="rId9"/>
    <sheet state="visible" name="janvier 2024" sheetId="7" r:id="rId10"/>
    <sheet state="visible" name="février 2024" sheetId="8" r:id="rId11"/>
    <sheet state="visible" name="mars 2024" sheetId="9" r:id="rId12"/>
    <sheet state="visible" name="avril 2024" sheetId="10" r:id="rId13"/>
    <sheet state="visible" name="mai 2024" sheetId="11" r:id="rId14"/>
    <sheet state="visible" name="juin 2024" sheetId="12" r:id="rId15"/>
    <sheet state="visible" name="juillet 2024" sheetId="13" r:id="rId16"/>
    <sheet state="visible" name="août 2024" sheetId="14" r:id="rId17"/>
    <sheet state="visible" name="septembre 2024" sheetId="15" r:id="rId18"/>
    <sheet state="visible" name="octobre 2024" sheetId="16" r:id="rId19"/>
    <sheet state="visible" name="novembre 2024" sheetId="17" r:id="rId20"/>
    <sheet state="visible" name="décembre 2024" sheetId="18" r:id="rId21"/>
    <sheet state="visible" name="janvier 2025" sheetId="19" r:id="rId22"/>
    <sheet state="visible" name="février 2025" sheetId="20" r:id="rId23"/>
    <sheet state="visible" name="mars 2025" sheetId="21" r:id="rId24"/>
    <sheet state="visible" name="avril 2025" sheetId="22" r:id="rId25"/>
    <sheet state="visible" name="mai 2025" sheetId="23" r:id="rId26"/>
    <sheet state="visible" name="juin 2025" sheetId="24" r:id="rId27"/>
    <sheet state="visible" name="juillet 2025" sheetId="25" r:id="rId28"/>
    <sheet state="visible" name="août 2025" sheetId="26" r:id="rId29"/>
    <sheet state="visible" name="septembre 2025" sheetId="27" r:id="rId30"/>
    <sheet state="visible" name="octobre 2025" sheetId="28" r:id="rId31"/>
    <sheet state="visible" name="novembre 2025" sheetId="29" r:id="rId32"/>
    <sheet state="visible" name="décembre 2025" sheetId="30" r:id="rId33"/>
    <sheet state="visible" name="janvier 2026" sheetId="31" r:id="rId34"/>
    <sheet state="visible" name="fév 2026" sheetId="32" r:id="rId35"/>
    <sheet state="visible" name="mars 2026" sheetId="33" r:id="rId36"/>
    <sheet state="visible" name="Alex appart" sheetId="34" r:id="rId37"/>
    <sheet state="visible" name="Ammortissement Appart" sheetId="35" r:id="rId38"/>
    <sheet state="visible" name="Chris appart" sheetId="36" r:id="rId39"/>
    <sheet state="visible" name="Synthèse appart" sheetId="37" r:id="rId40"/>
    <sheet state="visible" name="Copie de Synthèse appart" sheetId="38" r:id="rId41"/>
    <sheet state="visible" name="Appart - Fin 102020" sheetId="39" r:id="rId42"/>
    <sheet state="visible" name="janvier 21" sheetId="40" r:id="rId43"/>
    <sheet state="visible" name="février 2021" sheetId="41" r:id="rId44"/>
    <sheet state="visible" name="mars 2021" sheetId="42" r:id="rId45"/>
    <sheet state="visible" name="avril 2021" sheetId="43" r:id="rId46"/>
    <sheet state="visible" name="mai 2021" sheetId="44" r:id="rId47"/>
    <sheet state="visible" name="juin 2021" sheetId="45" r:id="rId48"/>
    <sheet state="visible" name="juillet 2021" sheetId="46" r:id="rId49"/>
    <sheet state="visible" name="août 2021" sheetId="47" r:id="rId50"/>
    <sheet state="visible" name="septembre 2021" sheetId="48" r:id="rId51"/>
    <sheet state="visible" name="octobre 2021 " sheetId="49" r:id="rId52"/>
    <sheet state="visible" name="novembre 2021" sheetId="50" r:id="rId53"/>
    <sheet state="visible" name="décembre 2021" sheetId="51" r:id="rId54"/>
    <sheet state="visible" name="janvier 2022" sheetId="52" r:id="rId55"/>
    <sheet state="visible" name="crypto" sheetId="53" r:id="rId56"/>
    <sheet state="visible" name="Feuille 16" sheetId="54" r:id="rId57"/>
    <sheet state="visible" name="Test App" sheetId="55" r:id="rId58"/>
    <sheet state="hidden" name="Copie de septembre 2021" sheetId="56" r:id="rId5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tc={19388633-fca9-4bac-9660-73e1535eeb05}</author>
    <author>tc={7dcd7ef0-1e5e-4f50-bcf6-02551eaec571}</author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  <comment authorId="1" xr:uid="{19388633-fca9-4bac-9660-73e1535eeb0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poste
</t>
      </text>
    </comment>
    <comment authorId="2" xr:uid="{7dcd7ef0-1e5e-4f50-bcf6-02551eaec57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+20€ pour les 2 dernières semaines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1">
      <text>
        <t xml:space="preserve">Livre d'électricité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1">
      <text>
        <t xml:space="preserve">Livre d'électricité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1">
      <text>
        <t xml:space="preserve">Livre d'électricité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1">
      <text>
        <t xml:space="preserve">Livre d'électricité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1">
      <text>
        <t xml:space="preserve">Livre d'électricité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1">
      <text>
        <t xml:space="preserve">Livre d'électricité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1">
      <text>
        <t xml:space="preserve">Livre d'électricité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Taxe habitation Chemin du Moulin</t>
      </text>
    </comment>
    <comment authorId="0" ref="C22">
      <text>
        <t xml:space="preserve">Livre d'électricité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Taxe habitation Chemin du Moulin</t>
      </text>
    </comment>
    <comment authorId="0" ref="C22">
      <text>
        <t xml:space="preserve">Livre d'électricité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Taxe habitation Chemin du Moulin</t>
      </text>
    </comment>
    <comment authorId="0" ref="C22">
      <text>
        <t xml:space="preserve">Livre d'électricité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Taxe habitation Chemin du Moulin</t>
      </text>
    </comment>
    <comment authorId="0" ref="C22">
      <text>
        <t xml:space="preserve">Livre d'électricité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Taxe habitation Chemin du Moulin</t>
      </text>
    </comment>
    <comment authorId="0" ref="C22">
      <text>
        <t xml:space="preserve">Livre d'électricité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Taxe habitation Chemin du Moulin</t>
      </text>
    </comment>
    <comment authorId="0" ref="C22">
      <text>
        <t xml:space="preserve">Livre d'électricité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Taxe habitation Chemin du Moulin</t>
      </text>
    </comment>
    <comment authorId="0" ref="C22">
      <text>
        <t xml:space="preserve">Livre d'électricité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Taxe habitation Chemin du Moulin</t>
      </text>
    </comment>
    <comment authorId="0" ref="C22">
      <text>
        <t xml:space="preserve">Livre d'électricité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Taxe habitation Chemin du Moulin</t>
      </text>
    </comment>
    <comment authorId="0" ref="C22">
      <text>
        <t xml:space="preserve">Livre d'électricité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Taxe habitation Chemin du Moulin</t>
      </text>
    </comment>
    <comment authorId="0" ref="C22">
      <text>
        <t xml:space="preserve">Livre d'électricité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Taxe habitation Chemin du Moulin</t>
      </text>
    </comment>
    <comment authorId="0" ref="C22">
      <text>
        <t xml:space="preserve">Livre d'électricité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Taxe habitation Chemin du Moulin</t>
      </text>
    </comment>
    <comment authorId="0" ref="C22">
      <text>
        <t xml:space="preserve">Livre d'électricité</t>
      </text>
    </comment>
  </commentLi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Taxe habitation Chemin du Moulin</t>
      </text>
    </comment>
    <comment authorId="0" ref="C22">
      <text>
        <t xml:space="preserve">Livre d'électricité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Taxe habitation Chemin du Moulin</t>
      </text>
    </comment>
    <comment authorId="0" ref="C22">
      <text>
        <t xml:space="preserve">Livre d'électricité</t>
      </text>
    </comment>
  </commentLi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Taxe habitation Chemin du Moulin</t>
      </text>
    </comment>
    <comment authorId="0" ref="C22">
      <text>
        <t xml:space="preserve">Livre d'électricité</t>
      </text>
    </comment>
  </commentList>
</comments>
</file>

<file path=xl/comments3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Taxe habitation Chemin du Moulin</t>
      </text>
    </comment>
    <comment authorId="0" ref="C22">
      <text>
        <t xml:space="preserve">Livre d'électricité</t>
      </text>
    </comment>
  </commentList>
</comments>
</file>

<file path=xl/comments3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Taxe habitation Chemin du Moulin</t>
      </text>
    </comment>
    <comment authorId="0" ref="C22">
      <text>
        <t xml:space="preserve">Livre d'électricité</t>
      </text>
    </comment>
  </commentList>
</comments>
</file>

<file path=xl/comments3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3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3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3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3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3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4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4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4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4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4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4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4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4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comments4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Taxe habitation Chemin du Moulin</t>
      </text>
    </comment>
    <comment authorId="0" ref="C20">
      <text>
        <t xml:space="preserve">Livre d'électricité</t>
      </text>
    </comment>
  </commentList>
</comments>
</file>

<file path=xl/sharedStrings.xml><?xml version="1.0" encoding="utf-8"?>
<sst xmlns="http://schemas.openxmlformats.org/spreadsheetml/2006/main" count="3068" uniqueCount="198">
  <si>
    <t> Chris</t>
  </si>
  <si>
    <t> Alex</t>
  </si>
  <si>
    <t> Alimentation</t>
  </si>
  <si>
    <t> marché/pain</t>
  </si>
  <si>
    <t> miel</t>
  </si>
  <si>
    <t> Viande</t>
  </si>
  <si>
    <t> Intermarché</t>
  </si>
  <si>
    <t> Habitation</t>
  </si>
  <si>
    <t> Loyer</t>
  </si>
  <si>
    <t>vanille</t>
  </si>
  <si>
    <t>Total</t>
  </si>
  <si>
    <t> Assurance</t>
  </si>
  <si>
    <t>Impôt</t>
  </si>
  <si>
    <t> Eau</t>
  </si>
  <si>
    <t> direct énergie</t>
  </si>
  <si>
    <t> Internet</t>
  </si>
  <si>
    <t>Taxe habitation</t>
  </si>
  <si>
    <t>Ramonage</t>
  </si>
  <si>
    <t> netflix</t>
  </si>
  <si>
    <t> Loisirs</t>
  </si>
  <si>
    <t> Restaurant</t>
  </si>
  <si>
    <t> Week-end/vacances</t>
  </si>
  <si>
    <t> Livres</t>
  </si>
  <si>
    <t> Vie quotidienne</t>
  </si>
  <si>
    <t>pharmacie</t>
  </si>
  <si>
    <t> Berlioz/rats</t>
  </si>
  <si>
    <t> Sport</t>
  </si>
  <si>
    <t> Cadeaux</t>
  </si>
  <si>
    <t> Appartement</t>
  </si>
  <si>
    <t>Immo</t>
  </si>
  <si>
    <t xml:space="preserve"> </t>
  </si>
  <si>
    <t>Total Chris</t>
  </si>
  <si>
    <t>Total Alex</t>
  </si>
  <si>
    <t>Balance</t>
  </si>
  <si>
    <t> Dettes:</t>
  </si>
  <si>
    <t> Chris → Alex</t>
  </si>
  <si>
    <t> Montant</t>
  </si>
  <si>
    <t> Alex → Chris</t>
  </si>
  <si>
    <t>Balance finale (Chris-&gt;Alex)</t>
  </si>
  <si>
    <t>Balance courante</t>
  </si>
  <si>
    <t>Virement</t>
  </si>
  <si>
    <t>Balence précédente</t>
  </si>
  <si>
    <t>Synthèse</t>
  </si>
  <si>
    <t>appart</t>
  </si>
  <si>
    <t>Total habitation / personne</t>
  </si>
  <si>
    <t>Total alimentation / personne</t>
  </si>
  <si>
    <t>Total loisir / personne</t>
  </si>
  <si>
    <t>Total vie quotidienne / personne</t>
  </si>
  <si>
    <t>Total commun / personne</t>
  </si>
  <si>
    <t>amaretto</t>
  </si>
  <si>
    <t>pile montre</t>
  </si>
  <si>
    <t>miel</t>
  </si>
  <si>
    <t>pharma</t>
  </si>
  <si>
    <t>cathy</t>
  </si>
  <si>
    <t>pneus</t>
  </si>
  <si>
    <t>apero</t>
  </si>
  <si>
    <t>noel</t>
  </si>
  <si>
    <t>ski rando</t>
  </si>
  <si>
    <t>basket</t>
  </si>
  <si>
    <t>Reste Battista</t>
  </si>
  <si>
    <t>Apport Chris</t>
  </si>
  <si>
    <t>TTC Battista</t>
  </si>
  <si>
    <t>Alex</t>
  </si>
  <si>
    <t>Chris</t>
  </si>
  <si>
    <t>Reallon</t>
  </si>
  <si>
    <t>malaga</t>
  </si>
  <si>
    <t xml:space="preserve">total énergie </t>
  </si>
  <si>
    <t>babou</t>
  </si>
  <si>
    <t>poncho</t>
  </si>
  <si>
    <t>thailande</t>
  </si>
  <si>
    <t>edf</t>
  </si>
  <si>
    <t>gaz</t>
  </si>
  <si>
    <t>pierre mylan</t>
  </si>
  <si>
    <t>compeed</t>
  </si>
  <si>
    <t>amazon abonnement annuel</t>
  </si>
  <si>
    <t xml:space="preserve">vin Céline </t>
  </si>
  <si>
    <t>amazon chris</t>
  </si>
  <si>
    <t xml:space="preserve">pharma </t>
  </si>
  <si>
    <t xml:space="preserve">pharmacie </t>
  </si>
  <si>
    <t>Virement babou</t>
  </si>
  <si>
    <t>Catégorie</t>
  </si>
  <si>
    <t>Sous catégorie</t>
  </si>
  <si>
    <t>total energie</t>
  </si>
  <si>
    <t>Lozere Chris</t>
  </si>
  <si>
    <t>Info autoroute/carburant</t>
  </si>
  <si>
    <t>oscaro</t>
  </si>
  <si>
    <t>ekosport</t>
  </si>
  <si>
    <t xml:space="preserve">Egypte </t>
  </si>
  <si>
    <t>sac à viande</t>
  </si>
  <si>
    <t>refuge vence</t>
  </si>
  <si>
    <t>Berroca</t>
  </si>
  <si>
    <t xml:space="preserve">Porquerolles </t>
  </si>
  <si>
    <t>but</t>
  </si>
  <si>
    <t>mariage</t>
  </si>
  <si>
    <t>axa</t>
  </si>
  <si>
    <t>darty</t>
  </si>
  <si>
    <t>espece</t>
  </si>
  <si>
    <t>Noel mylan</t>
  </si>
  <si>
    <t xml:space="preserve">anniversaire </t>
  </si>
  <si>
    <t>bougie</t>
  </si>
  <si>
    <t>maroc</t>
  </si>
  <si>
    <t>Mois</t>
  </si>
  <si>
    <t>Libellé</t>
  </si>
  <si>
    <t>Montant</t>
  </si>
  <si>
    <t>Intérieur</t>
  </si>
  <si>
    <t>Rideau</t>
  </si>
  <si>
    <t>Crédit</t>
  </si>
  <si>
    <t>Radiateur</t>
  </si>
  <si>
    <t>Equipement</t>
  </si>
  <si>
    <t>Fixation &amp; Prise elcs</t>
  </si>
  <si>
    <t>Chauffe eau</t>
  </si>
  <si>
    <t>Mitigeur themostatique</t>
  </si>
  <si>
    <t>Peinture &amp; Ponçage</t>
  </si>
  <si>
    <t>vernis porte</t>
  </si>
  <si>
    <t>Mensualités restantes:</t>
  </si>
  <si>
    <t>Total emprunt</t>
  </si>
  <si>
    <t>Reste à rembourser:</t>
  </si>
  <si>
    <t>Capital</t>
  </si>
  <si>
    <t>Apport LCL</t>
  </si>
  <si>
    <t>Cuisine</t>
  </si>
  <si>
    <t>Pose/installation</t>
  </si>
  <si>
    <t>Notaire</t>
  </si>
  <si>
    <t>Accompte</t>
  </si>
  <si>
    <t>Credit</t>
  </si>
  <si>
    <t>Coût total emprunt</t>
  </si>
  <si>
    <t>Montant emprunté</t>
  </si>
  <si>
    <t>Coût du crédit</t>
  </si>
  <si>
    <t>Coût projet immo</t>
  </si>
  <si>
    <t>Apport Alex</t>
  </si>
  <si>
    <t>Total investissement immo</t>
  </si>
  <si>
    <t>Parts acquises</t>
  </si>
  <si>
    <t>%Chris</t>
  </si>
  <si>
    <t>%Alex</t>
  </si>
  <si>
    <t>%Libre</t>
  </si>
  <si>
    <t>Pour atteindre l'équilbre au terme du remboursement</t>
  </si>
  <si>
    <t>Loyer</t>
  </si>
  <si>
    <t>chris</t>
  </si>
  <si>
    <t>alex</t>
  </si>
  <si>
    <t>Remboursement 2017</t>
  </si>
  <si>
    <t>Remboursement 2018</t>
  </si>
  <si>
    <t>Remboursement 2019</t>
  </si>
  <si>
    <t>Remboursement 01/10 au 10/2010</t>
  </si>
  <si>
    <t>Total remboursement à fin 10/2020</t>
  </si>
  <si>
    <t>Remboursement Chris</t>
  </si>
  <si>
    <t>Remboursement Alex</t>
  </si>
  <si>
    <t>Loyer moyen restant</t>
  </si>
  <si>
    <t>Depuis tableau amortissement (devrait être égals)</t>
  </si>
  <si>
    <t>Part loyer</t>
  </si>
  <si>
    <t>Montant loyer</t>
  </si>
  <si>
    <t>Reste à rembourser</t>
  </si>
  <si>
    <t>Cout total emprunt</t>
  </si>
  <si>
    <t>(cf calcul plus bas)</t>
  </si>
  <si>
    <t>Nombre de mensualités restantes:</t>
  </si>
  <si>
    <t>Objectif - Avoir 50% chacun à terme:
cad: 0,5 * total projet immo = apport chris = (B8 + reste à apporter par chris)
cad: 0,5 * total projet immo = apport alex =  (B9 + reste à apporter par alex)</t>
  </si>
  <si>
    <t>Reste à apporter:</t>
  </si>
  <si>
    <t>Par mois</t>
  </si>
  <si>
    <t>Part de remboursement mensuel:</t>
  </si>
  <si>
    <t>Valeur en %</t>
  </si>
  <si>
    <t>Mensualité</t>
  </si>
  <si>
    <t>Total remboursé Chris</t>
  </si>
  <si>
    <t>Total remboursé Alex</t>
  </si>
  <si>
    <t>Appartement</t>
  </si>
  <si>
    <t>Chris/Alex</t>
  </si>
  <si>
    <t>Fournisseur</t>
  </si>
  <si>
    <t>Toiture</t>
  </si>
  <si>
    <t>café</t>
  </si>
  <si>
    <t>Total toiture</t>
  </si>
  <si>
    <t>cash</t>
  </si>
  <si>
    <t>virement</t>
  </si>
  <si>
    <t>Tokyo</t>
  </si>
  <si>
    <t>mycose</t>
  </si>
  <si>
    <t>Regul Café</t>
  </si>
  <si>
    <t>table de gaspard</t>
  </si>
  <si>
    <t>git branch -v -a</t>
  </si>
  <si>
    <t>:</t>
  </si>
  <si>
    <t xml:space="preserve">  ,h</t>
  </si>
  <si>
    <t>virementņ</t>
  </si>
  <si>
    <t>poele</t>
  </si>
  <si>
    <t>canard</t>
  </si>
  <si>
    <t xml:space="preserve">seche cheveux </t>
  </si>
  <si>
    <t xml:space="preserve">babou Noël </t>
  </si>
  <si>
    <t>BTC</t>
  </si>
  <si>
    <t>ETH</t>
  </si>
  <si>
    <t>MATIC</t>
  </si>
  <si>
    <t>Total Eur</t>
  </si>
  <si>
    <t>BTC Chris historique</t>
  </si>
  <si>
    <t>ETH Chris historique</t>
  </si>
  <si>
    <t>user[0]</t>
  </si>
  <si>
    <t>user[1]</t>
  </si>
  <si>
    <t>//Dette de user0</t>
  </si>
  <si>
    <t>Chris:</t>
  </si>
  <si>
    <t>user0</t>
  </si>
  <si>
    <t>user1</t>
  </si>
  <si>
    <t>/**</t>
  </si>
  <si>
    <t>- si &gt; 0 user[0] doit à user[1]</t>
  </si>
  <si>
    <t>Appart</t>
  </si>
  <si>
    <t>- si &lt; 0 user[1] doit à user[0]</t>
  </si>
  <si>
    <t>*/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</si>
</sst>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yyyy"/>
    <numFmt numFmtId="165" formatCode="m/yyyy"/>
    <numFmt numFmtId="166" formatCode="dd/MM/yyyy"/>
    <numFmt numFmtId="167" formatCode="#,##0.00\ [$€-1]"/>
    <numFmt numFmtId="168" formatCode="0.0"/>
    <numFmt numFmtId="169" formatCode="0.0000000"/>
  </numFmts>
  <fonts count="25">
    <font>
      <sz val="10.0"/>
      <color rgb="FF000000"/>
      <name val="Arial"/>
    </font>
    <font/>
    <font>
      <b/>
    </font>
    <font>
      <sz val="12.0"/>
      <color rgb="FF3E3E3E"/>
      <name val="Monospace"/>
    </font>
    <font>
      <sz val="11.0"/>
      <color rgb="FF000000"/>
      <name val="Inconsolata"/>
    </font>
    <font>
      <sz val="11.0"/>
      <color rgb="FF000000"/>
      <name val="Arial"/>
    </font>
    <font>
      <name val="Arial"/>
    </font>
    <font>
      <sz val="18.0"/>
    </font>
    <font>
      <color rgb="FFCCCCCC"/>
    </font>
    <font>
      <sz val="11.0"/>
      <color rgb="FF6E6E6E"/>
      <name val="Poppins"/>
    </font>
    <font>
      <sz val="12.0"/>
      <color rgb="FF3E3E3E"/>
      <name val="Arial"/>
    </font>
    <font>
      <color rgb="FFFFFFFF"/>
      <name val="Roboto"/>
    </font>
    <font>
      <color rgb="FF434343"/>
      <name val="Roboto"/>
    </font>
    <font>
      <b/>
      <color rgb="FF434343"/>
      <name val="Roboto"/>
    </font>
    <font>
      <sz val="11.0"/>
      <color rgb="FF000000"/>
      <name val="&quot;Aptos Narrow&quot;"/>
    </font>
    <font>
      <color rgb="FF434343"/>
      <name val="Arial"/>
    </font>
    <font>
      <sz val="18.0"/>
      <color rgb="FF434343"/>
      <name val="Roboto"/>
    </font>
    <font>
      <strike/>
      <color rgb="FF434343"/>
      <name val="Roboto"/>
    </font>
    <font>
      <sz val="11.0"/>
      <color rgb="FFD8DEE9"/>
      <name val="Consolas"/>
    </font>
    <font>
      <color rgb="FFF3F3F3"/>
    </font>
    <font>
      <sz val="10.0"/>
      <color rgb="FF202124"/>
      <name val="Arial"/>
    </font>
    <font>
      <color rgb="FFFFFFFF"/>
    </font>
    <font>
      <sz val="8.0"/>
      <name val="&quot;Liberation Sans&quot;"/>
    </font>
    <font>
      <sz val="8.0"/>
      <name val="Liberation Serif"/>
    </font>
    <font>
      <sz val="11.0"/>
      <color rgb="FF6A9955"/>
      <name val="&quot;Droid Sans Mono&quot;"/>
    </font>
  </fonts>
  <fills count="11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FAFAFA"/>
        <bgColor rgb="FFFAFAFA"/>
      </patternFill>
    </fill>
    <fill>
      <patternFill patternType="solid">
        <fgColor rgb="FF1A1A1A"/>
        <bgColor rgb="FF1A1A1A"/>
      </patternFill>
    </fill>
    <fill>
      <patternFill patternType="solid">
        <fgColor rgb="FF9900FF"/>
        <bgColor rgb="FF9900FF"/>
      </patternFill>
    </fill>
    <fill>
      <patternFill patternType="solid">
        <fgColor rgb="FFFFFFBD"/>
        <bgColor rgb="FFFFFFBD"/>
      </patternFill>
    </fill>
    <fill>
      <patternFill patternType="solid">
        <fgColor rgb="FF1E1E1E"/>
        <bgColor rgb="FF1E1E1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1" numFmtId="0" xfId="0" applyAlignment="1" applyFont="1">
      <alignment shrinkToFit="0" wrapText="1"/>
    </xf>
    <xf borderId="0" fillId="0" fontId="3" numFmtId="0" xfId="0" applyFont="1"/>
    <xf borderId="0" fillId="4" fontId="4" numFmtId="0" xfId="0" applyAlignment="1" applyFill="1" applyFont="1">
      <alignment readingOrder="0"/>
    </xf>
    <xf borderId="0" fillId="4" fontId="5" numFmtId="0" xfId="0" applyAlignment="1" applyFont="1">
      <alignment readingOrder="0"/>
    </xf>
    <xf borderId="0" fillId="5" fontId="6" numFmtId="0" xfId="0" applyAlignment="1" applyFill="1" applyFont="1">
      <alignment readingOrder="0" shrinkToFit="0" vertical="bottom" wrapText="0"/>
    </xf>
    <xf borderId="0" fillId="0" fontId="7" numFmtId="0" xfId="0" applyFont="1"/>
    <xf borderId="0" fillId="0" fontId="2" numFmtId="0" xfId="0" applyFont="1"/>
    <xf borderId="0" fillId="0" fontId="8" numFmtId="0" xfId="0" applyAlignment="1" applyFont="1">
      <alignment readingOrder="0"/>
    </xf>
    <xf borderId="1" fillId="2" fontId="1" numFmtId="0" xfId="0" applyAlignment="1" applyBorder="1" applyFont="1">
      <alignment readingOrder="0"/>
    </xf>
    <xf borderId="1" fillId="0" fontId="1" numFmtId="3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3" xfId="0" applyBorder="1" applyFont="1" applyNumberFormat="1"/>
    <xf borderId="1" fillId="0" fontId="1" numFmtId="0" xfId="0" applyAlignment="1" applyBorder="1" applyFont="1">
      <alignment horizontal="left" readingOrder="0"/>
    </xf>
    <xf borderId="1" fillId="0" fontId="1" numFmtId="0" xfId="0" applyBorder="1" applyFont="1"/>
    <xf borderId="0" fillId="6" fontId="9" numFmtId="0" xfId="0" applyAlignment="1" applyFill="1" applyFont="1">
      <alignment horizontal="center" readingOrder="0"/>
    </xf>
    <xf borderId="1" fillId="2" fontId="1" numFmtId="3" xfId="0" applyAlignment="1" applyBorder="1" applyFont="1" applyNumberForma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2" fontId="12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shrinkToFit="0" vertical="center" wrapText="0"/>
    </xf>
    <xf borderId="0" fillId="0" fontId="12" numFmtId="3" xfId="0" applyAlignment="1" applyFont="1" applyNumberFormat="1">
      <alignment readingOrder="0" shrinkToFit="0" vertical="center" wrapText="0"/>
    </xf>
    <xf borderId="0" fillId="0" fontId="14" numFmtId="0" xfId="0" applyAlignment="1" applyFont="1">
      <alignment horizontal="right" readingOrder="0" shrinkToFit="0" vertical="bottom" wrapText="0"/>
    </xf>
    <xf borderId="0" fillId="3" fontId="12" numFmtId="0" xfId="0" applyAlignment="1" applyFont="1">
      <alignment shrinkToFit="0" vertical="center" wrapText="0"/>
    </xf>
    <xf borderId="0" fillId="3" fontId="12" numFmtId="0" xfId="0" applyAlignment="1" applyFont="1">
      <alignment readingOrder="0" shrinkToFit="0" vertical="center" wrapText="0"/>
    </xf>
    <xf borderId="0" fillId="0" fontId="12" numFmtId="0" xfId="0" applyAlignment="1" applyFont="1">
      <alignment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5" numFmtId="0" xfId="0" applyAlignment="1" applyFont="1">
      <alignment readingOrder="0" shrinkToFit="0" vertical="center" wrapText="0"/>
    </xf>
    <xf borderId="0" fillId="5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shrinkToFit="0" vertical="center" wrapText="0"/>
    </xf>
    <xf borderId="0" fillId="4" fontId="1" numFmtId="0" xfId="0" applyAlignment="1" applyFont="1">
      <alignment readingOrder="0"/>
    </xf>
    <xf borderId="1" fillId="0" fontId="12" numFmtId="0" xfId="0" applyAlignment="1" applyBorder="1" applyFont="1">
      <alignment readingOrder="0" shrinkToFit="0" vertical="center" wrapText="0"/>
    </xf>
    <xf borderId="1" fillId="0" fontId="12" numFmtId="3" xfId="0" applyAlignment="1" applyBorder="1" applyFont="1" applyNumberFormat="1">
      <alignment shrinkToFit="0" vertical="center" wrapText="0"/>
    </xf>
    <xf borderId="1" fillId="0" fontId="12" numFmtId="3" xfId="0" applyAlignment="1" applyBorder="1" applyFont="1" applyNumberFormat="1">
      <alignment readingOrder="0" shrinkToFit="0" vertical="center" wrapText="0"/>
    </xf>
    <xf borderId="1" fillId="0" fontId="12" numFmtId="0" xfId="0" applyAlignment="1" applyBorder="1" applyFont="1">
      <alignment horizontal="left" readingOrder="0" shrinkToFit="0" vertical="center" wrapText="0"/>
    </xf>
    <xf borderId="0" fillId="6" fontId="9" numFmtId="0" xfId="0" applyAlignment="1" applyFont="1">
      <alignment horizontal="center" readingOrder="0" shrinkToFit="0" vertical="center" wrapText="0"/>
    </xf>
    <xf borderId="1" fillId="2" fontId="12" numFmtId="3" xfId="0" applyAlignment="1" applyBorder="1" applyFont="1" applyNumberFormat="1">
      <alignment readingOrder="0" shrinkToFit="0" vertical="center" wrapText="0"/>
    </xf>
    <xf borderId="0" fillId="3" fontId="17" numFmtId="0" xfId="0" applyAlignment="1" applyFont="1">
      <alignment readingOrder="0" shrinkToFit="0" vertical="center" wrapText="0"/>
    </xf>
    <xf borderId="0" fillId="7" fontId="18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0" fillId="0" fontId="12" numFmtId="1" xfId="0" applyAlignment="1" applyFont="1" applyNumberFormat="1">
      <alignment readingOrder="0" shrinkToFit="0" vertical="center" wrapText="0"/>
    </xf>
    <xf borderId="0" fillId="0" fontId="1" numFmtId="1" xfId="0" applyFont="1" applyNumberFormat="1"/>
    <xf borderId="0" fillId="8" fontId="19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horizontal="right" readingOrder="0"/>
    </xf>
    <xf borderId="0" fillId="0" fontId="1" numFmtId="167" xfId="0" applyFont="1" applyNumberFormat="1"/>
    <xf borderId="0" fillId="0" fontId="1" numFmtId="167" xfId="0" applyAlignment="1" applyFont="1" applyNumberFormat="1">
      <alignment readingOrder="0"/>
    </xf>
    <xf borderId="0" fillId="4" fontId="20" numFmtId="0" xfId="0" applyAlignment="1" applyFont="1">
      <alignment horizontal="right"/>
    </xf>
    <xf borderId="0" fillId="0" fontId="6" numFmtId="0" xfId="0" applyAlignment="1" applyFont="1">
      <alignment horizontal="right" vertical="bottom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Border="1" applyFont="1"/>
    <xf borderId="2" fillId="0" fontId="1" numFmtId="0" xfId="0" applyBorder="1" applyFont="1"/>
    <xf borderId="3" fillId="0" fontId="1" numFmtId="167" xfId="0" applyBorder="1" applyFont="1" applyNumberFormat="1"/>
    <xf borderId="3" fillId="0" fontId="1" numFmtId="0" xfId="0" applyBorder="1" applyFont="1"/>
    <xf borderId="0" fillId="8" fontId="21" numFmtId="0" xfId="0" applyAlignment="1" applyFont="1">
      <alignment readingOrder="0"/>
    </xf>
    <xf borderId="1" fillId="0" fontId="1" numFmtId="10" xfId="0" applyBorder="1" applyFont="1" applyNumberFormat="1"/>
    <xf borderId="0" fillId="0" fontId="1" numFmtId="10" xfId="0" applyFont="1" applyNumberFormat="1"/>
    <xf borderId="0" fillId="0" fontId="1" numFmtId="168" xfId="0" applyFont="1" applyNumberFormat="1"/>
    <xf borderId="2" fillId="0" fontId="1" numFmtId="167" xfId="0" applyAlignment="1" applyBorder="1" applyFont="1" applyNumberFormat="1">
      <alignment readingOrder="0"/>
    </xf>
    <xf borderId="4" fillId="0" fontId="1" numFmtId="167" xfId="0" applyBorder="1" applyFont="1" applyNumberFormat="1"/>
    <xf borderId="2" fillId="0" fontId="1" numFmtId="167" xfId="0" applyBorder="1" applyFont="1" applyNumberFormat="1"/>
    <xf borderId="3" fillId="0" fontId="1" numFmtId="4" xfId="0" applyBorder="1" applyFont="1" applyNumberFormat="1"/>
    <xf borderId="1" fillId="0" fontId="1" numFmtId="167" xfId="0" applyBorder="1" applyFont="1" applyNumberFormat="1"/>
    <xf borderId="1" fillId="0" fontId="1" numFmtId="1" xfId="0" applyBorder="1" applyFont="1" applyNumberFormat="1"/>
    <xf borderId="1" fillId="0" fontId="1" numFmtId="9" xfId="0" applyAlignment="1" applyBorder="1" applyFont="1" applyNumberFormat="1">
      <alignment readingOrder="0"/>
    </xf>
    <xf borderId="3" fillId="0" fontId="1" numFmtId="2" xfId="0" applyBorder="1" applyFont="1" applyNumberFormat="1"/>
    <xf borderId="0" fillId="0" fontId="1" numFmtId="2" xfId="0" applyFont="1" applyNumberFormat="1"/>
    <xf borderId="1" fillId="3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9" fontId="3" numFmtId="0" xfId="0" applyFill="1" applyFont="1"/>
    <xf borderId="0" fillId="3" fontId="1" numFmtId="3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2" numFmtId="0" xfId="0" applyAlignment="1" applyFont="1">
      <alignment horizontal="left"/>
    </xf>
    <xf borderId="0" fillId="0" fontId="23" numFmtId="0" xfId="0" applyAlignment="1" applyFont="1">
      <alignment horizontal="right" readingOrder="0"/>
    </xf>
    <xf borderId="0" fillId="0" fontId="22" numFmtId="0" xfId="0" applyAlignment="1" applyFont="1">
      <alignment horizontal="right" readingOrder="0"/>
    </xf>
    <xf borderId="0" fillId="0" fontId="1" numFmtId="3" xfId="0" applyFont="1" applyNumberFormat="1"/>
    <xf borderId="0" fillId="0" fontId="1" numFmtId="169" xfId="0" applyAlignment="1" applyFont="1" applyNumberFormat="1">
      <alignment readingOrder="0"/>
    </xf>
    <xf borderId="0" fillId="0" fontId="1" numFmtId="169" xfId="0" applyFont="1" applyNumberFormat="1"/>
    <xf borderId="0" fillId="10" fontId="24" numFmtId="0" xfId="0" applyAlignment="1" applyFill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6F8F9"/>
          <bgColor rgb="FFF6F8F9"/>
        </patternFill>
      </fill>
      <border/>
    </dxf>
  </dxfs>
  <tableStyles count="42">
    <tableStyle count="4" pivot="0" name="février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évrier 2025-style 2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février 2025-style 3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mars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s 2025-style 2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mars 2025-style 3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avril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vril 2025-style 2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avril 2025-style 3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mai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i 2025-style 2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mai 2025-style 3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juin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in 2025-style 2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juin 2025-style 3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juillet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illet 2025-style 2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juillet 2025-style 3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août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oût 2025-style 2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août 2025-style 3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septembre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ptembre 2025-style 2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septembre 2025-style 3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octobre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ctobre 2025-style 2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octobre 2025-style 3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novembre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vembre 2025-style 2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novembre 2025-style 3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décembre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écembre 2025-style 2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décembre 2025-style 3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janvier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anvier 2026-style 2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janvier 2026-style 3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fév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év 2026-style 2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fév 2026-style 3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mars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s 2026-style 2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mars 2026-style 3">
      <tableStyleElement dxfId="1" type="headerRow"/>
      <tableStyleElement dxfId="2" type="firstRowStripe"/>
      <tableStyleElement dxfId="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hristophe Seguinot" id="{825f3810-5771-42fc-b612-0c4d80621455}" providerId="google-sheets"/>
</x18tc:personList>
</file>

<file path=xl/tables/table1.xml><?xml version="1.0" encoding="utf-8"?>
<table xmlns="http://schemas.openxmlformats.org/spreadsheetml/2006/main" ref="A1:D34" displayName="Tableau1" name="Tableau1" id="1">
  <tableColumns count="4">
    <tableColumn name="Catégorie" id="1"/>
    <tableColumn name="Sous catégorie" id="2"/>
    <tableColumn name=" Chris" id="3"/>
    <tableColumn name=" Alex" id="4"/>
  </tableColumns>
  <tableStyleInfo name="février 2025-style" showColumnStripes="0" showFirstColumn="1" showLastColumn="1" showRowStripes="1"/>
</table>
</file>

<file path=xl/tables/table2.xml><?xml version="1.0" encoding="utf-8"?>
<table xmlns="http://schemas.openxmlformats.org/spreadsheetml/2006/main" ref="A38:B45" displayName="Tableau2" name="Tableau2" id="2">
  <tableColumns count="2">
    <tableColumn name=" Chris → Alex" id="1"/>
    <tableColumn name=" Montant" id="2"/>
  </tableColumns>
  <tableStyleInfo name="février 2025-style 2" showColumnStripes="0" showFirstColumn="1" showLastColumn="1" showRowStripes="1"/>
</table>
</file>

<file path=xl/tables/table3.xml><?xml version="1.0" encoding="utf-8"?>
<table xmlns="http://schemas.openxmlformats.org/spreadsheetml/2006/main" ref="E38:F45" displayName="Tableau3" name="Tableau3" id="3">
  <tableColumns count="2">
    <tableColumn name=" Alex → Chris" id="1"/>
    <tableColumn name=" Montant" id="2"/>
  </tableColumns>
  <tableStyleInfo name="février 2025-style 3" showColumnStripes="0" showFirstColumn="1" showLastColumn="1" showRowStripes="1"/>
</table>
</file>

<file path=xl/tables/table4.xml><?xml version="1.0" encoding="utf-8"?>
<table xmlns="http://schemas.openxmlformats.org/spreadsheetml/2006/main" ref="A1:D34" displayName="Tableau1_2" name="Tableau1_2" id="4">
  <tableColumns count="4">
    <tableColumn name="Catégorie" id="1"/>
    <tableColumn name="Sous catégorie" id="2"/>
    <tableColumn name=" Chris" id="3"/>
    <tableColumn name=" Alex" id="4"/>
  </tableColumns>
  <tableStyleInfo name="mars 2025-style" showColumnStripes="0" showFirstColumn="1" showLastColumn="1" showRowStripes="1"/>
</table>
</file>

<file path=xl/tables/table5.xml><?xml version="1.0" encoding="utf-8"?>
<table xmlns="http://schemas.openxmlformats.org/spreadsheetml/2006/main" ref="A38:B45" displayName="Tableau2_2" name="Tableau2_2" id="5">
  <tableColumns count="2">
    <tableColumn name=" Chris → Alex" id="1"/>
    <tableColumn name=" Montant" id="2"/>
  </tableColumns>
  <tableStyleInfo name="mars 2025-style 2" showColumnStripes="0" showFirstColumn="1" showLastColumn="1" showRowStripes="1"/>
</table>
</file>

<file path=xl/tables/table6.xml><?xml version="1.0" encoding="utf-8"?>
<table xmlns="http://schemas.openxmlformats.org/spreadsheetml/2006/main" ref="E38:F45" displayName="Tableau3_2" name="Tableau3_2" id="6">
  <tableColumns count="2">
    <tableColumn name=" Alex → Chris" id="1"/>
    <tableColumn name=" Montant" id="2"/>
  </tableColumns>
  <tableStyleInfo name="mars 2025-style 3" showColumnStripes="0" showFirstColumn="1" showLastColumn="1" showRowStripes="1"/>
</table>
</file>

<file path=xl/tables/table7.xml><?xml version="1.0" encoding="utf-8"?>
<table xmlns="http://schemas.openxmlformats.org/spreadsheetml/2006/main" ref="A1:D34" displayName="Tableau1_3" name="Tableau1_3" id="7">
  <tableColumns count="4">
    <tableColumn name="Catégorie" id="1"/>
    <tableColumn name="Sous catégorie" id="2"/>
    <tableColumn name=" Chris" id="3"/>
    <tableColumn name=" Alex" id="4"/>
  </tableColumns>
  <tableStyleInfo name="avril 2025-style" showColumnStripes="0" showFirstColumn="1" showLastColumn="1" showRowStripes="1"/>
</table>
</file>

<file path=xl/tables/table8.xml><?xml version="1.0" encoding="utf-8"?>
<table xmlns="http://schemas.openxmlformats.org/spreadsheetml/2006/main" ref="A38:B45" displayName="Tableau2_3" name="Tableau2_3" id="8">
  <tableColumns count="2">
    <tableColumn name=" Chris → Alex" id="1"/>
    <tableColumn name=" Montant" id="2"/>
  </tableColumns>
  <tableStyleInfo name="avril 2025-style 2" showColumnStripes="0" showFirstColumn="1" showLastColumn="1" showRowStripes="1"/>
</table>
</file>

<file path=xl/tables/table9.xml><?xml version="1.0" encoding="utf-8"?>
<table xmlns="http://schemas.openxmlformats.org/spreadsheetml/2006/main" ref="E38:F45" displayName="Tableau3_3" name="Tableau3_3" id="9">
  <tableColumns count="2">
    <tableColumn name=" Alex → Chris" id="1"/>
    <tableColumn name=" Montant" id="2"/>
  </tableColumns>
  <tableStyleInfo name="avril 2025-style 3" showColumnStripes="0" showFirstColumn="1" showLastColumn="1" showRowStripes="1"/>
</table>
</file>

<file path=xl/tables/table10.xml><?xml version="1.0" encoding="utf-8"?>
<table xmlns="http://schemas.openxmlformats.org/spreadsheetml/2006/main" ref="A1:D34" displayName="Tableau1_4" name="Tableau1_4" id="10">
  <tableColumns count="4">
    <tableColumn name="Catégorie" id="1"/>
    <tableColumn name="Sous catégorie" id="2"/>
    <tableColumn name=" Chris" id="3"/>
    <tableColumn name=" Alex" id="4"/>
  </tableColumns>
  <tableStyleInfo name="mai 2025-style" showColumnStripes="0" showFirstColumn="1" showLastColumn="1" showRowStripes="1"/>
</table>
</file>

<file path=xl/tables/table11.xml><?xml version="1.0" encoding="utf-8"?>
<table xmlns="http://schemas.openxmlformats.org/spreadsheetml/2006/main" ref="A38:B45" displayName="Tableau2_4" name="Tableau2_4" id="11">
  <tableColumns count="2">
    <tableColumn name=" Chris → Alex" id="1"/>
    <tableColumn name=" Montant" id="2"/>
  </tableColumns>
  <tableStyleInfo name="mai 2025-style 2" showColumnStripes="0" showFirstColumn="1" showLastColumn="1" showRowStripes="1"/>
</table>
</file>

<file path=xl/tables/table12.xml><?xml version="1.0" encoding="utf-8"?>
<table xmlns="http://schemas.openxmlformats.org/spreadsheetml/2006/main" ref="E38:F45" displayName="Tableau3_4" name="Tableau3_4" id="12">
  <tableColumns count="2">
    <tableColumn name=" Alex → Chris" id="1"/>
    <tableColumn name=" Montant" id="2"/>
  </tableColumns>
  <tableStyleInfo name="mai 2025-style 3" showColumnStripes="0" showFirstColumn="1" showLastColumn="1" showRowStripes="1"/>
</table>
</file>

<file path=xl/tables/table13.xml><?xml version="1.0" encoding="utf-8"?>
<table xmlns="http://schemas.openxmlformats.org/spreadsheetml/2006/main" ref="A1:D34" displayName="Tableau1_5" name="Tableau1_5" id="13">
  <tableColumns count="4">
    <tableColumn name="Catégorie" id="1"/>
    <tableColumn name="Sous catégorie" id="2"/>
    <tableColumn name=" Chris" id="3"/>
    <tableColumn name=" Alex" id="4"/>
  </tableColumns>
  <tableStyleInfo name="juin 2025-style" showColumnStripes="0" showFirstColumn="1" showLastColumn="1" showRowStripes="1"/>
</table>
</file>

<file path=xl/tables/table14.xml><?xml version="1.0" encoding="utf-8"?>
<table xmlns="http://schemas.openxmlformats.org/spreadsheetml/2006/main" ref="A38:B45" displayName="Tableau2_5" name="Tableau2_5" id="14">
  <tableColumns count="2">
    <tableColumn name=" Chris → Alex" id="1"/>
    <tableColumn name=" Montant" id="2"/>
  </tableColumns>
  <tableStyleInfo name="juin 2025-style 2" showColumnStripes="0" showFirstColumn="1" showLastColumn="1" showRowStripes="1"/>
</table>
</file>

<file path=xl/tables/table15.xml><?xml version="1.0" encoding="utf-8"?>
<table xmlns="http://schemas.openxmlformats.org/spreadsheetml/2006/main" ref="E38:F45" displayName="Tableau3_5" name="Tableau3_5" id="15">
  <tableColumns count="2">
    <tableColumn name=" Alex → Chris" id="1"/>
    <tableColumn name=" Montant" id="2"/>
  </tableColumns>
  <tableStyleInfo name="juin 2025-style 3" showColumnStripes="0" showFirstColumn="1" showLastColumn="1" showRowStripes="1"/>
</table>
</file>

<file path=xl/tables/table16.xml><?xml version="1.0" encoding="utf-8"?>
<table xmlns="http://schemas.openxmlformats.org/spreadsheetml/2006/main" ref="A1:D34" displayName="Tableau1_6" name="Tableau1_6" id="16">
  <tableColumns count="4">
    <tableColumn name="Catégorie" id="1"/>
    <tableColumn name="Sous catégorie" id="2"/>
    <tableColumn name=" Chris" id="3"/>
    <tableColumn name=" Alex" id="4"/>
  </tableColumns>
  <tableStyleInfo name="juillet 2025-style" showColumnStripes="0" showFirstColumn="1" showLastColumn="1" showRowStripes="1"/>
</table>
</file>

<file path=xl/tables/table17.xml><?xml version="1.0" encoding="utf-8"?>
<table xmlns="http://schemas.openxmlformats.org/spreadsheetml/2006/main" ref="A38:B45" displayName="Tableau2_6" name="Tableau2_6" id="17">
  <tableColumns count="2">
    <tableColumn name=" Chris → Alex" id="1"/>
    <tableColumn name=" Montant" id="2"/>
  </tableColumns>
  <tableStyleInfo name="juillet 2025-style 2" showColumnStripes="0" showFirstColumn="1" showLastColumn="1" showRowStripes="1"/>
</table>
</file>

<file path=xl/tables/table18.xml><?xml version="1.0" encoding="utf-8"?>
<table xmlns="http://schemas.openxmlformats.org/spreadsheetml/2006/main" ref="E38:F45" displayName="Tableau3_6" name="Tableau3_6" id="18">
  <tableColumns count="2">
    <tableColumn name=" Alex → Chris" id="1"/>
    <tableColumn name=" Montant" id="2"/>
  </tableColumns>
  <tableStyleInfo name="juillet 2025-style 3" showColumnStripes="0" showFirstColumn="1" showLastColumn="1" showRowStripes="1"/>
</table>
</file>

<file path=xl/tables/table19.xml><?xml version="1.0" encoding="utf-8"?>
<table xmlns="http://schemas.openxmlformats.org/spreadsheetml/2006/main" ref="A1:D34" displayName="Tableau1_7" name="Tableau1_7" id="19">
  <tableColumns count="4">
    <tableColumn name="Catégorie" id="1"/>
    <tableColumn name="Sous catégorie" id="2"/>
    <tableColumn name=" Chris" id="3"/>
    <tableColumn name=" Alex" id="4"/>
  </tableColumns>
  <tableStyleInfo name="août 2025-style" showColumnStripes="0" showFirstColumn="1" showLastColumn="1" showRowStripes="1"/>
</table>
</file>

<file path=xl/tables/table20.xml><?xml version="1.0" encoding="utf-8"?>
<table xmlns="http://schemas.openxmlformats.org/spreadsheetml/2006/main" ref="A38:B45" displayName="Tableau2_7" name="Tableau2_7" id="20">
  <tableColumns count="2">
    <tableColumn name=" Chris → Alex" id="1"/>
    <tableColumn name=" Montant" id="2"/>
  </tableColumns>
  <tableStyleInfo name="août 2025-style 2" showColumnStripes="0" showFirstColumn="1" showLastColumn="1" showRowStripes="1"/>
</table>
</file>

<file path=xl/tables/table21.xml><?xml version="1.0" encoding="utf-8"?>
<table xmlns="http://schemas.openxmlformats.org/spreadsheetml/2006/main" ref="E38:F45" displayName="Tableau3_7" name="Tableau3_7" id="21">
  <tableColumns count="2">
    <tableColumn name=" Alex → Chris" id="1"/>
    <tableColumn name=" Montant" id="2"/>
  </tableColumns>
  <tableStyleInfo name="août 2025-style 3" showColumnStripes="0" showFirstColumn="1" showLastColumn="1" showRowStripes="1"/>
</table>
</file>

<file path=xl/tables/table22.xml><?xml version="1.0" encoding="utf-8"?>
<table xmlns="http://schemas.openxmlformats.org/spreadsheetml/2006/main" ref="A1:D34" displayName="Tableau1_8" name="Tableau1_8" id="22">
  <tableColumns count="4">
    <tableColumn name="Catégorie" id="1"/>
    <tableColumn name="Sous catégorie" id="2"/>
    <tableColumn name=" Chris" id="3"/>
    <tableColumn name=" Alex" id="4"/>
  </tableColumns>
  <tableStyleInfo name="septembre 2025-style" showColumnStripes="0" showFirstColumn="1" showLastColumn="1" showRowStripes="1"/>
</table>
</file>

<file path=xl/tables/table23.xml><?xml version="1.0" encoding="utf-8"?>
<table xmlns="http://schemas.openxmlformats.org/spreadsheetml/2006/main" ref="A38:B45" displayName="Tableau2_8" name="Tableau2_8" id="23">
  <tableColumns count="2">
    <tableColumn name=" Chris → Alex" id="1"/>
    <tableColumn name=" Montant" id="2"/>
  </tableColumns>
  <tableStyleInfo name="septembre 2025-style 2" showColumnStripes="0" showFirstColumn="1" showLastColumn="1" showRowStripes="1"/>
</table>
</file>

<file path=xl/tables/table24.xml><?xml version="1.0" encoding="utf-8"?>
<table xmlns="http://schemas.openxmlformats.org/spreadsheetml/2006/main" ref="E38:F45" displayName="Tableau3_8" name="Tableau3_8" id="24">
  <tableColumns count="2">
    <tableColumn name=" Alex → Chris" id="1"/>
    <tableColumn name=" Montant" id="2"/>
  </tableColumns>
  <tableStyleInfo name="septembre 2025-style 3" showColumnStripes="0" showFirstColumn="1" showLastColumn="1" showRowStripes="1"/>
</table>
</file>

<file path=xl/tables/table25.xml><?xml version="1.0" encoding="utf-8"?>
<table xmlns="http://schemas.openxmlformats.org/spreadsheetml/2006/main" ref="A1:D34" displayName="Tableau5" name="Tableau5" id="25">
  <tableColumns count="4">
    <tableColumn name="Catégorie" id="1"/>
    <tableColumn name="Sous catégorie" id="2"/>
    <tableColumn name=" Chris" id="3"/>
    <tableColumn name=" Alex" id="4"/>
  </tableColumns>
  <tableStyleInfo name="octobre 2025-style" showColumnStripes="0" showFirstColumn="1" showLastColumn="1" showRowStripes="1"/>
</table>
</file>

<file path=xl/tables/table26.xml><?xml version="1.0" encoding="utf-8"?>
<table xmlns="http://schemas.openxmlformats.org/spreadsheetml/2006/main" ref="A38:B45" displayName="Tableau4" name="Tableau4" id="26">
  <tableColumns count="2">
    <tableColumn name=" Chris → Alex" id="1"/>
    <tableColumn name=" Montant" id="2"/>
  </tableColumns>
  <tableStyleInfo name="octobre 2025-style 2" showColumnStripes="0" showFirstColumn="1" showLastColumn="1" showRowStripes="1"/>
</table>
</file>

<file path=xl/tables/table27.xml><?xml version="1.0" encoding="utf-8"?>
<table xmlns="http://schemas.openxmlformats.org/spreadsheetml/2006/main" ref="E38:F45" displayName="Tableau6" name="Tableau6" id="27">
  <tableColumns count="2">
    <tableColumn name=" Alex → Chris" id="1"/>
    <tableColumn name=" Montant" id="2"/>
  </tableColumns>
  <tableStyleInfo name="octobre 2025-style 3" showColumnStripes="0" showFirstColumn="1" showLastColumn="1" showRowStripes="1"/>
</table>
</file>

<file path=xl/tables/table28.xml><?xml version="1.0" encoding="utf-8"?>
<table xmlns="http://schemas.openxmlformats.org/spreadsheetml/2006/main" ref="A1:D34" displayName="Tableau5_2" name="Tableau5_2" id="28">
  <tableColumns count="4">
    <tableColumn name="Catégorie" id="1"/>
    <tableColumn name="Sous catégorie" id="2"/>
    <tableColumn name=" Chris" id="3"/>
    <tableColumn name=" Alex" id="4"/>
  </tableColumns>
  <tableStyleInfo name="novembre 2025-style" showColumnStripes="0" showFirstColumn="1" showLastColumn="1" showRowStripes="1"/>
</table>
</file>

<file path=xl/tables/table29.xml><?xml version="1.0" encoding="utf-8"?>
<table xmlns="http://schemas.openxmlformats.org/spreadsheetml/2006/main" ref="A38:B45" displayName="Tableau4_2" name="Tableau4_2" id="29">
  <tableColumns count="2">
    <tableColumn name=" Chris → Alex" id="1"/>
    <tableColumn name=" Montant" id="2"/>
  </tableColumns>
  <tableStyleInfo name="novembre 2025-style 2" showColumnStripes="0" showFirstColumn="1" showLastColumn="1" showRowStripes="1"/>
</table>
</file>

<file path=xl/tables/table30.xml><?xml version="1.0" encoding="utf-8"?>
<table xmlns="http://schemas.openxmlformats.org/spreadsheetml/2006/main" ref="E38:F45" displayName="Tableau6_2" name="Tableau6_2" id="30">
  <tableColumns count="2">
    <tableColumn name=" Alex → Chris" id="1"/>
    <tableColumn name=" Montant" id="2"/>
  </tableColumns>
  <tableStyleInfo name="novembre 2025-style 3" showColumnStripes="0" showFirstColumn="1" showLastColumn="1" showRowStripes="1"/>
</table>
</file>

<file path=xl/tables/table31.xml><?xml version="1.0" encoding="utf-8"?>
<table xmlns="http://schemas.openxmlformats.org/spreadsheetml/2006/main" ref="A1:D34" displayName="Tableau5_3" name="Tableau5_3" id="31">
  <tableColumns count="4">
    <tableColumn name="Catégorie" id="1"/>
    <tableColumn name="Sous catégorie" id="2"/>
    <tableColumn name=" Chris" id="3"/>
    <tableColumn name=" Alex" id="4"/>
  </tableColumns>
  <tableStyleInfo name="décembre 2025-style" showColumnStripes="0" showFirstColumn="1" showLastColumn="1" showRowStripes="1"/>
</table>
</file>

<file path=xl/tables/table32.xml><?xml version="1.0" encoding="utf-8"?>
<table xmlns="http://schemas.openxmlformats.org/spreadsheetml/2006/main" ref="A38:B45" displayName="Tableau4_3" name="Tableau4_3" id="32">
  <tableColumns count="2">
    <tableColumn name=" Chris → Alex" id="1"/>
    <tableColumn name=" Montant" id="2"/>
  </tableColumns>
  <tableStyleInfo name="décembre 2025-style 2" showColumnStripes="0" showFirstColumn="1" showLastColumn="1" showRowStripes="1"/>
</table>
</file>

<file path=xl/tables/table33.xml><?xml version="1.0" encoding="utf-8"?>
<table xmlns="http://schemas.openxmlformats.org/spreadsheetml/2006/main" ref="E38:F45" displayName="Tableau6_3" name="Tableau6_3" id="33">
  <tableColumns count="2">
    <tableColumn name=" Alex → Chris" id="1"/>
    <tableColumn name=" Montant" id="2"/>
  </tableColumns>
  <tableStyleInfo name="décembre 2025-style 3" showColumnStripes="0" showFirstColumn="1" showLastColumn="1" showRowStripes="1"/>
</table>
</file>

<file path=xl/tables/table34.xml><?xml version="1.0" encoding="utf-8"?>
<table xmlns="http://schemas.openxmlformats.org/spreadsheetml/2006/main" ref="A1:D34" displayName="Tableau5_4" name="Tableau5_4" id="34">
  <tableColumns count="4">
    <tableColumn name="Catégorie" id="1"/>
    <tableColumn name="Sous catégorie" id="2"/>
    <tableColumn name=" Chris" id="3"/>
    <tableColumn name=" Alex" id="4"/>
  </tableColumns>
  <tableStyleInfo name="janvier 2026-style" showColumnStripes="0" showFirstColumn="1" showLastColumn="1" showRowStripes="1"/>
</table>
</file>

<file path=xl/tables/table35.xml><?xml version="1.0" encoding="utf-8"?>
<table xmlns="http://schemas.openxmlformats.org/spreadsheetml/2006/main" ref="A38:B45" displayName="Tableau4_4" name="Tableau4_4" id="35">
  <tableColumns count="2">
    <tableColumn name=" Chris → Alex" id="1"/>
    <tableColumn name=" Montant" id="2"/>
  </tableColumns>
  <tableStyleInfo name="janvier 2026-style 2" showColumnStripes="0" showFirstColumn="1" showLastColumn="1" showRowStripes="1"/>
</table>
</file>

<file path=xl/tables/table36.xml><?xml version="1.0" encoding="utf-8"?>
<table xmlns="http://schemas.openxmlformats.org/spreadsheetml/2006/main" ref="E38:F45" displayName="Tableau6_4" name="Tableau6_4" id="36">
  <tableColumns count="2">
    <tableColumn name=" Alex → Chris" id="1"/>
    <tableColumn name=" Montant" id="2"/>
  </tableColumns>
  <tableStyleInfo name="janvier 2026-style 3" showColumnStripes="0" showFirstColumn="1" showLastColumn="1" showRowStripes="1"/>
</table>
</file>

<file path=xl/tables/table37.xml><?xml version="1.0" encoding="utf-8"?>
<table xmlns="http://schemas.openxmlformats.org/spreadsheetml/2006/main" ref="A1:D34" displayName="Tableau5_5" name="Tableau5_5" id="37">
  <tableColumns count="4">
    <tableColumn name="Catégorie" id="1"/>
    <tableColumn name="Sous catégorie" id="2"/>
    <tableColumn name=" Chris" id="3"/>
    <tableColumn name=" Alex" id="4"/>
  </tableColumns>
  <tableStyleInfo name="fév 2026-style" showColumnStripes="0" showFirstColumn="1" showLastColumn="1" showRowStripes="1"/>
</table>
</file>

<file path=xl/tables/table38.xml><?xml version="1.0" encoding="utf-8"?>
<table xmlns="http://schemas.openxmlformats.org/spreadsheetml/2006/main" ref="A38:B45" displayName="Tableau4_5" name="Tableau4_5" id="38">
  <tableColumns count="2">
    <tableColumn name=" Chris → Alex" id="1"/>
    <tableColumn name=" Montant" id="2"/>
  </tableColumns>
  <tableStyleInfo name="fév 2026-style 2" showColumnStripes="0" showFirstColumn="1" showLastColumn="1" showRowStripes="1"/>
</table>
</file>

<file path=xl/tables/table39.xml><?xml version="1.0" encoding="utf-8"?>
<table xmlns="http://schemas.openxmlformats.org/spreadsheetml/2006/main" ref="E38:F45" displayName="Tableau6_5" name="Tableau6_5" id="39">
  <tableColumns count="2">
    <tableColumn name=" Alex → Chris" id="1"/>
    <tableColumn name=" Montant" id="2"/>
  </tableColumns>
  <tableStyleInfo name="fév 2026-style 3" showColumnStripes="0" showFirstColumn="1" showLastColumn="1" showRowStripes="1"/>
</table>
</file>

<file path=xl/tables/table40.xml><?xml version="1.0" encoding="utf-8"?>
<table xmlns="http://schemas.openxmlformats.org/spreadsheetml/2006/main" ref="A1:D34" displayName="Tableau5_6" name="Tableau5_6" id="40">
  <tableColumns count="4">
    <tableColumn name="Catégorie" id="1"/>
    <tableColumn name="Sous catégorie" id="2"/>
    <tableColumn name=" Chris" id="3"/>
    <tableColumn name=" Alex" id="4"/>
  </tableColumns>
  <tableStyleInfo name="mars 2026-style" showColumnStripes="0" showFirstColumn="1" showLastColumn="1" showRowStripes="1"/>
</table>
</file>

<file path=xl/tables/table41.xml><?xml version="1.0" encoding="utf-8"?>
<table xmlns="http://schemas.openxmlformats.org/spreadsheetml/2006/main" ref="A38:B45" displayName="Tableau4_6" name="Tableau4_6" id="41">
  <tableColumns count="2">
    <tableColumn name=" Chris → Alex" id="1"/>
    <tableColumn name=" Montant" id="2"/>
  </tableColumns>
  <tableStyleInfo name="mars 2026-style 2" showColumnStripes="0" showFirstColumn="1" showLastColumn="1" showRowStripes="1"/>
</table>
</file>

<file path=xl/tables/table42.xml><?xml version="1.0" encoding="utf-8"?>
<table xmlns="http://schemas.openxmlformats.org/spreadsheetml/2006/main" ref="E38:F45" displayName="Tableau6_6" name="Tableau6_6" id="42">
  <tableColumns count="2">
    <tableColumn name=" Alex → Chris" id="1"/>
    <tableColumn name=" Montant" id="2"/>
  </tableColumns>
  <tableStyleInfo name="mars 2026-style 3" showColumnStripes="0" showFirstColumn="1" showLastColumn="1" showRowStripes="1"/>
</tabl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17-07-28T15:39:03.00" personId="{825f3810-5771-42fc-b612-0c4d80621455}" id="{19388633-fca9-4bac-9660-73e1535eeb05}" done="0">
    <x18tc:text xml:space="preserve">poste</x18tc:text>
  </x18tc:threadedComment>
  <x18tc:threadedComment ref="A1" dT="2017-07-28T15:37:36.00" personId="{825f3810-5771-42fc-b612-0c4d80621455}" id="{7dcd7ef0-1e5e-4f50-bcf6-02551eaec571}" done="0">
    <x18tc:text xml:space="preserve">+20€ pour les 2 dernières semaines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5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6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7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8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9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20.v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21.vml"/><Relationship Id="rId9" Type="http://schemas.openxmlformats.org/officeDocument/2006/relationships/table" Target="../tables/table6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22.vml"/><Relationship Id="rId9" Type="http://schemas.openxmlformats.org/officeDocument/2006/relationships/table" Target="../tables/table9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3.vml"/><Relationship Id="rId9" Type="http://schemas.openxmlformats.org/officeDocument/2006/relationships/table" Target="../tables/table12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4.vml"/><Relationship Id="rId9" Type="http://schemas.openxmlformats.org/officeDocument/2006/relationships/table" Target="../tables/table15.xml"/><Relationship Id="rId7" Type="http://schemas.openxmlformats.org/officeDocument/2006/relationships/table" Target="../tables/table13.xml"/><Relationship Id="rId8" Type="http://schemas.openxmlformats.org/officeDocument/2006/relationships/table" Target="../tables/table1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5.vml"/><Relationship Id="rId9" Type="http://schemas.openxmlformats.org/officeDocument/2006/relationships/table" Target="../tables/table18.xml"/><Relationship Id="rId7" Type="http://schemas.openxmlformats.org/officeDocument/2006/relationships/table" Target="../tables/table16.xml"/><Relationship Id="rId8" Type="http://schemas.openxmlformats.org/officeDocument/2006/relationships/table" Target="../tables/table17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6.vml"/><Relationship Id="rId9" Type="http://schemas.openxmlformats.org/officeDocument/2006/relationships/table" Target="../tables/table21.xml"/><Relationship Id="rId7" Type="http://schemas.openxmlformats.org/officeDocument/2006/relationships/table" Target="../tables/table19.xml"/><Relationship Id="rId8" Type="http://schemas.openxmlformats.org/officeDocument/2006/relationships/table" Target="../tables/table20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27.vml"/><Relationship Id="rId9" Type="http://schemas.openxmlformats.org/officeDocument/2006/relationships/table" Target="../tables/table24.xml"/><Relationship Id="rId7" Type="http://schemas.openxmlformats.org/officeDocument/2006/relationships/table" Target="../tables/table22.xml"/><Relationship Id="rId8" Type="http://schemas.openxmlformats.org/officeDocument/2006/relationships/table" Target="../tables/table23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28.vml"/><Relationship Id="rId9" Type="http://schemas.openxmlformats.org/officeDocument/2006/relationships/table" Target="../tables/table27.xml"/><Relationship Id="rId7" Type="http://schemas.openxmlformats.org/officeDocument/2006/relationships/table" Target="../tables/table25.xml"/><Relationship Id="rId8" Type="http://schemas.openxmlformats.org/officeDocument/2006/relationships/table" Target="../tables/table26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29.vml"/><Relationship Id="rId9" Type="http://schemas.openxmlformats.org/officeDocument/2006/relationships/table" Target="../tables/table30.xml"/><Relationship Id="rId7" Type="http://schemas.openxmlformats.org/officeDocument/2006/relationships/table" Target="../tables/table28.xml"/><Relationship Id="rId8" Type="http://schemas.openxmlformats.org/officeDocument/2006/relationships/table" Target="../tables/table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30.vml"/><Relationship Id="rId9" Type="http://schemas.openxmlformats.org/officeDocument/2006/relationships/table" Target="../tables/table33.xml"/><Relationship Id="rId7" Type="http://schemas.openxmlformats.org/officeDocument/2006/relationships/table" Target="../tables/table31.xml"/><Relationship Id="rId8" Type="http://schemas.openxmlformats.org/officeDocument/2006/relationships/table" Target="../tables/table32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31.vml"/><Relationship Id="rId9" Type="http://schemas.openxmlformats.org/officeDocument/2006/relationships/table" Target="../tables/table36.xml"/><Relationship Id="rId7" Type="http://schemas.openxmlformats.org/officeDocument/2006/relationships/table" Target="../tables/table34.xml"/><Relationship Id="rId8" Type="http://schemas.openxmlformats.org/officeDocument/2006/relationships/table" Target="../tables/table35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32.vml"/><Relationship Id="rId9" Type="http://schemas.openxmlformats.org/officeDocument/2006/relationships/table" Target="../tables/table39.xml"/><Relationship Id="rId7" Type="http://schemas.openxmlformats.org/officeDocument/2006/relationships/table" Target="../tables/table37.xml"/><Relationship Id="rId8" Type="http://schemas.openxmlformats.org/officeDocument/2006/relationships/table" Target="../tables/table38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33.vml"/><Relationship Id="rId9" Type="http://schemas.openxmlformats.org/officeDocument/2006/relationships/table" Target="../tables/table42.xml"/><Relationship Id="rId7" Type="http://schemas.openxmlformats.org/officeDocument/2006/relationships/table" Target="../tables/table40.xml"/><Relationship Id="rId8" Type="http://schemas.openxmlformats.org/officeDocument/2006/relationships/table" Target="../tables/table41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34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drawing" Target="../drawings/drawing41.xml"/><Relationship Id="rId3" Type="http://schemas.openxmlformats.org/officeDocument/2006/relationships/vmlDrawing" Target="../drawings/vmlDrawing35.v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drawing" Target="../drawings/drawing42.xml"/><Relationship Id="rId3" Type="http://schemas.openxmlformats.org/officeDocument/2006/relationships/vmlDrawing" Target="../drawings/vmlDrawing36.v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drawing" Target="../drawings/drawing43.xml"/><Relationship Id="rId3" Type="http://schemas.openxmlformats.org/officeDocument/2006/relationships/vmlDrawing" Target="../drawings/vmlDrawing37.v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drawing" Target="../drawings/drawing44.xml"/><Relationship Id="rId3" Type="http://schemas.openxmlformats.org/officeDocument/2006/relationships/vmlDrawing" Target="../drawings/vmlDrawing38.v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drawing" Target="../drawings/drawing45.xml"/><Relationship Id="rId3" Type="http://schemas.openxmlformats.org/officeDocument/2006/relationships/vmlDrawing" Target="../drawings/vmlDrawing39.v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drawing" Target="../drawings/drawing46.xml"/><Relationship Id="rId3" Type="http://schemas.openxmlformats.org/officeDocument/2006/relationships/vmlDrawing" Target="../drawings/vmlDrawing40.v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drawing" Target="../drawings/drawing47.xml"/><Relationship Id="rId3" Type="http://schemas.openxmlformats.org/officeDocument/2006/relationships/vmlDrawing" Target="../drawings/vmlDrawing41.v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drawing" Target="../drawings/drawing48.xml"/><Relationship Id="rId3" Type="http://schemas.openxmlformats.org/officeDocument/2006/relationships/vmlDrawing" Target="../drawings/vmlDrawing42.v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43.xml"/><Relationship Id="rId2" Type="http://schemas.openxmlformats.org/officeDocument/2006/relationships/drawing" Target="../drawings/drawing49.xml"/><Relationship Id="rId3" Type="http://schemas.openxmlformats.org/officeDocument/2006/relationships/vmlDrawing" Target="../drawings/vmlDrawing43.v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comments" Target="../comments44.xml"/><Relationship Id="rId2" Type="http://schemas.openxmlformats.org/officeDocument/2006/relationships/drawing" Target="../drawings/drawing50.xml"/><Relationship Id="rId3" Type="http://schemas.openxmlformats.org/officeDocument/2006/relationships/vmlDrawing" Target="../drawings/vmlDrawing44.v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comments" Target="../comments45.xml"/><Relationship Id="rId2" Type="http://schemas.openxmlformats.org/officeDocument/2006/relationships/drawing" Target="../drawings/drawing51.xml"/><Relationship Id="rId3" Type="http://schemas.openxmlformats.org/officeDocument/2006/relationships/vmlDrawing" Target="../drawings/vmlDrawing45.v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46.xml"/><Relationship Id="rId2" Type="http://schemas.openxmlformats.org/officeDocument/2006/relationships/drawing" Target="../drawings/drawing52.xml"/><Relationship Id="rId3" Type="http://schemas.openxmlformats.org/officeDocument/2006/relationships/vmlDrawing" Target="../drawings/vmlDrawing46.v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comments" Target="../comments47.xml"/><Relationship Id="rId2" Type="http://schemas.openxmlformats.org/officeDocument/2006/relationships/drawing" Target="../drawings/drawing55.xml"/><Relationship Id="rId3" Type="http://schemas.openxmlformats.org/officeDocument/2006/relationships/vmlDrawing" Target="../drawings/vmlDrawing47.v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comments" Target="../comments48.xml"/><Relationship Id="rId2" Type="http://schemas.openxmlformats.org/officeDocument/2006/relationships/drawing" Target="../drawings/drawing56.xml"/><Relationship Id="rId3" Type="http://schemas.openxmlformats.org/officeDocument/2006/relationships/vmlDrawing" Target="../drawings/vmlDrawing4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2"/>
    </row>
    <row r="2">
      <c r="A2" s="1" t="s">
        <v>2</v>
      </c>
      <c r="B2" s="2" t="s">
        <v>3</v>
      </c>
      <c r="D2" s="3">
        <f>5+12+14+6+15</f>
        <v>52</v>
      </c>
      <c r="E2" s="3"/>
      <c r="G2" s="2"/>
      <c r="H2" s="2"/>
      <c r="I2" s="2"/>
      <c r="J2" s="2"/>
      <c r="K2" s="2"/>
    </row>
    <row r="3">
      <c r="B3" s="2" t="s">
        <v>4</v>
      </c>
      <c r="D3" s="2"/>
      <c r="E3" s="2"/>
      <c r="G3" s="2"/>
      <c r="I3" s="2"/>
      <c r="J3" s="2"/>
    </row>
    <row r="4">
      <c r="B4" s="2" t="s">
        <v>5</v>
      </c>
      <c r="C4" s="2">
        <v>57.0</v>
      </c>
      <c r="D4" s="2"/>
      <c r="E4" s="2"/>
      <c r="G4" s="2"/>
      <c r="H4" s="2"/>
      <c r="I4" s="2"/>
      <c r="J4" s="2"/>
      <c r="K4" s="2"/>
    </row>
    <row r="5">
      <c r="B5" s="2" t="s">
        <v>6</v>
      </c>
      <c r="C5" s="2">
        <f>2</f>
        <v>2</v>
      </c>
      <c r="D5" s="4">
        <f>95+9+82+75+124+58</f>
        <v>443</v>
      </c>
      <c r="E5" s="4"/>
      <c r="G5" s="2"/>
      <c r="H5" s="2"/>
      <c r="I5" s="3"/>
      <c r="J5" s="2"/>
      <c r="K5" s="2"/>
    </row>
    <row r="6">
      <c r="A6" s="1" t="s">
        <v>7</v>
      </c>
      <c r="B6" s="2" t="s">
        <v>8</v>
      </c>
      <c r="D6" s="4"/>
      <c r="E6" s="4"/>
      <c r="G6" s="2"/>
      <c r="H6" s="2"/>
      <c r="I6" s="2"/>
      <c r="J6" s="2"/>
      <c r="K6" s="2"/>
    </row>
    <row r="7">
      <c r="B7" s="2" t="s">
        <v>9</v>
      </c>
      <c r="C7" s="2">
        <v>51.0</v>
      </c>
      <c r="D7" s="4"/>
      <c r="E7" s="4"/>
      <c r="G7" s="2"/>
      <c r="H7" s="2"/>
      <c r="I7" s="2"/>
      <c r="J7" s="2"/>
      <c r="K7" s="2"/>
    </row>
    <row r="8">
      <c r="A8" s="5" t="s">
        <v>10</v>
      </c>
      <c r="B8" s="6"/>
      <c r="C8" s="5">
        <f t="shared" ref="C8:D8" si="1">SUM(C2:C7)</f>
        <v>110</v>
      </c>
      <c r="D8" s="5">
        <f t="shared" si="1"/>
        <v>495</v>
      </c>
      <c r="E8" s="5"/>
      <c r="F8" s="2"/>
      <c r="G8" s="2"/>
      <c r="H8" s="2"/>
      <c r="I8" s="2"/>
      <c r="J8" s="2"/>
      <c r="K8" s="2"/>
    </row>
    <row r="9">
      <c r="B9" s="2" t="s">
        <v>11</v>
      </c>
      <c r="D9" s="2">
        <v>24.0</v>
      </c>
      <c r="E9" s="2"/>
      <c r="G9" s="2"/>
      <c r="H9" s="2"/>
      <c r="I9" s="2"/>
      <c r="J9" s="2"/>
      <c r="K9" s="2"/>
    </row>
    <row r="10">
      <c r="B10" s="2" t="s">
        <v>12</v>
      </c>
      <c r="E10" s="2"/>
      <c r="F10" s="7"/>
      <c r="G10" s="2"/>
      <c r="H10" s="2"/>
      <c r="I10" s="2"/>
      <c r="J10" s="2"/>
      <c r="K10" s="2"/>
    </row>
    <row r="11">
      <c r="B11" s="2" t="s">
        <v>13</v>
      </c>
      <c r="E11" s="2"/>
      <c r="G11" s="2"/>
      <c r="H11" s="2"/>
      <c r="I11" s="2"/>
      <c r="J11" s="2"/>
      <c r="K11" s="2"/>
    </row>
    <row r="12">
      <c r="B12" s="2" t="s">
        <v>14</v>
      </c>
      <c r="D12" s="2">
        <v>190.0</v>
      </c>
      <c r="E12" s="2"/>
    </row>
    <row r="13">
      <c r="B13" s="2" t="s">
        <v>15</v>
      </c>
      <c r="C13" s="2">
        <v>30.0</v>
      </c>
      <c r="E13" s="2"/>
      <c r="H13" s="2"/>
      <c r="J13" s="8"/>
    </row>
    <row r="14">
      <c r="B14" s="2" t="s">
        <v>16</v>
      </c>
      <c r="E14" s="2"/>
      <c r="H14" s="2"/>
      <c r="I14" s="2"/>
    </row>
    <row r="15">
      <c r="B15" s="2" t="s">
        <v>17</v>
      </c>
      <c r="E15" s="2"/>
      <c r="H15" s="2"/>
      <c r="I15" s="2"/>
    </row>
    <row r="16">
      <c r="B16" s="2" t="s">
        <v>18</v>
      </c>
      <c r="C16" s="2"/>
      <c r="D16" s="2"/>
      <c r="E16" s="2"/>
      <c r="H16" s="2"/>
      <c r="I16" s="2"/>
    </row>
    <row r="17">
      <c r="A17" s="5" t="s">
        <v>10</v>
      </c>
      <c r="B17" s="6"/>
      <c r="C17" s="5">
        <f t="shared" ref="C17:D17" si="2">SUM(C9:C16)</f>
        <v>30</v>
      </c>
      <c r="D17" s="5">
        <f t="shared" si="2"/>
        <v>214</v>
      </c>
      <c r="E17" s="5"/>
      <c r="H17" s="2"/>
      <c r="I17" s="2"/>
    </row>
    <row r="18">
      <c r="A18" s="1" t="s">
        <v>19</v>
      </c>
      <c r="B18" s="2" t="s">
        <v>20</v>
      </c>
      <c r="D18" s="2">
        <v>37.0</v>
      </c>
      <c r="E18" s="2"/>
      <c r="H18" s="2"/>
      <c r="I18" s="2"/>
    </row>
    <row r="19">
      <c r="B19" s="2" t="s">
        <v>21</v>
      </c>
      <c r="C19" s="2">
        <v>106.0</v>
      </c>
      <c r="D19" s="2">
        <v>18.0</v>
      </c>
      <c r="E19" s="2"/>
      <c r="F19" s="2"/>
      <c r="H19" s="2"/>
      <c r="I19" s="2"/>
    </row>
    <row r="20">
      <c r="B20" s="2" t="s">
        <v>22</v>
      </c>
      <c r="H20" s="2"/>
      <c r="I20" s="2"/>
    </row>
    <row r="21">
      <c r="A21" s="5" t="s">
        <v>10</v>
      </c>
      <c r="B21" s="5"/>
      <c r="C21" s="5">
        <f t="shared" ref="C21:D21" si="3">sum(C18:C20)</f>
        <v>106</v>
      </c>
      <c r="D21" s="5">
        <f t="shared" si="3"/>
        <v>55</v>
      </c>
      <c r="E21" s="6"/>
    </row>
    <row r="22">
      <c r="A22" s="1" t="s">
        <v>23</v>
      </c>
      <c r="B22" s="2" t="s">
        <v>24</v>
      </c>
      <c r="D22" s="2"/>
    </row>
    <row r="23">
      <c r="B23" s="2" t="s">
        <v>25</v>
      </c>
      <c r="C23" s="2">
        <v>99.0</v>
      </c>
      <c r="D23" s="2"/>
    </row>
    <row r="24">
      <c r="B24" s="2" t="s">
        <v>26</v>
      </c>
      <c r="D24" s="2"/>
    </row>
    <row r="25">
      <c r="B25" s="2" t="s">
        <v>27</v>
      </c>
      <c r="C25" s="2"/>
      <c r="D25" s="2"/>
    </row>
    <row r="26">
      <c r="B26" s="2" t="s">
        <v>28</v>
      </c>
      <c r="C26" s="2">
        <f>5+27+13</f>
        <v>45</v>
      </c>
      <c r="D26" s="2">
        <v>25.0</v>
      </c>
    </row>
    <row r="27">
      <c r="B27" s="2" t="s">
        <v>29</v>
      </c>
      <c r="C27" s="9"/>
      <c r="D27" s="10"/>
      <c r="E27" s="10"/>
    </row>
    <row r="28">
      <c r="A28" s="5" t="s">
        <v>10</v>
      </c>
      <c r="B28" s="5"/>
      <c r="C28" s="5">
        <f t="shared" ref="C28:D28" si="4">sum(C22:C27)</f>
        <v>144</v>
      </c>
      <c r="D28" s="5">
        <f t="shared" si="4"/>
        <v>25</v>
      </c>
      <c r="E28" s="6"/>
      <c r="H28" s="2" t="s">
        <v>30</v>
      </c>
    </row>
    <row r="29">
      <c r="A29" s="11" t="s">
        <v>10</v>
      </c>
    </row>
    <row r="30">
      <c r="A30" s="11" t="s">
        <v>31</v>
      </c>
      <c r="B30" s="12"/>
      <c r="C30" s="12"/>
      <c r="D30">
        <f>C8+C17+C21+C28</f>
        <v>390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1" t="s">
        <v>32</v>
      </c>
      <c r="B31" s="13"/>
      <c r="C31" s="13"/>
      <c r="D31" s="3">
        <f>D8+D17+D21+D28</f>
        <v>789</v>
      </c>
      <c r="E31" s="3"/>
    </row>
    <row r="32">
      <c r="A32" s="11" t="s">
        <v>33</v>
      </c>
      <c r="B32" s="13"/>
      <c r="C32" s="13"/>
      <c r="D32" s="4">
        <f>(D31-D30)/2</f>
        <v>199.5</v>
      </c>
      <c r="E32" s="13"/>
    </row>
    <row r="33">
      <c r="A33" s="14"/>
    </row>
    <row r="34">
      <c r="A34" s="2" t="s">
        <v>34</v>
      </c>
    </row>
    <row r="35">
      <c r="A35" s="1" t="s">
        <v>35</v>
      </c>
      <c r="B35" s="1" t="s">
        <v>36</v>
      </c>
      <c r="F35" s="1" t="s">
        <v>37</v>
      </c>
      <c r="G35" s="1" t="s">
        <v>36</v>
      </c>
      <c r="I35" s="15" t="s">
        <v>38</v>
      </c>
      <c r="J35" s="16">
        <f>B42-G42</f>
        <v>-662.5</v>
      </c>
    </row>
    <row r="36">
      <c r="A36" s="17" t="s">
        <v>39</v>
      </c>
      <c r="B36" s="18">
        <f>D32</f>
        <v>199.5</v>
      </c>
      <c r="F36" s="17" t="s">
        <v>40</v>
      </c>
      <c r="G36" s="16">
        <v>600.0</v>
      </c>
    </row>
    <row r="37">
      <c r="A37" s="17" t="s">
        <v>41</v>
      </c>
      <c r="B37" s="17">
        <v>-385.0</v>
      </c>
      <c r="F37" s="19"/>
      <c r="G37" s="17"/>
      <c r="I37" s="3" t="s">
        <v>42</v>
      </c>
    </row>
    <row r="38">
      <c r="A38" s="17" t="s">
        <v>43</v>
      </c>
      <c r="B38" s="17">
        <v>115.0</v>
      </c>
      <c r="D38" s="2"/>
      <c r="E38" s="2"/>
      <c r="F38" s="17"/>
      <c r="G38" s="16">
        <v>0.0</v>
      </c>
      <c r="H38" s="2"/>
      <c r="I38" s="15" t="s">
        <v>44</v>
      </c>
      <c r="J38" s="20">
        <f>D17/2</f>
        <v>107</v>
      </c>
    </row>
    <row r="39">
      <c r="A39" s="17"/>
      <c r="B39" s="17">
        <v>8.0</v>
      </c>
      <c r="F39" s="17"/>
      <c r="G39" s="16"/>
      <c r="I39" s="15" t="s">
        <v>45</v>
      </c>
      <c r="J39" s="20">
        <f>D8/2</f>
        <v>247.5</v>
      </c>
    </row>
    <row r="40">
      <c r="A40" s="17"/>
      <c r="B40" s="17"/>
      <c r="F40" s="17"/>
      <c r="G40" s="17"/>
      <c r="I40" s="15" t="s">
        <v>46</v>
      </c>
      <c r="J40" s="20">
        <f>D21/2</f>
        <v>27.5</v>
      </c>
    </row>
    <row r="41">
      <c r="A41" s="17"/>
      <c r="B41" s="21"/>
      <c r="F41" s="17"/>
      <c r="G41" s="17"/>
      <c r="I41" s="15" t="s">
        <v>47</v>
      </c>
      <c r="J41" s="20">
        <f>D28/2</f>
        <v>12.5</v>
      </c>
    </row>
    <row r="42">
      <c r="A42" s="17" t="s">
        <v>10</v>
      </c>
      <c r="B42" s="22">
        <f>sum(B36:B41)</f>
        <v>-62.5</v>
      </c>
      <c r="F42" s="17" t="s">
        <v>10</v>
      </c>
      <c r="G42" s="18">
        <f>sum(G36:G41)</f>
        <v>600</v>
      </c>
      <c r="I42" s="15" t="s">
        <v>48</v>
      </c>
      <c r="J42" s="20">
        <f>sum(J38:J41)</f>
        <v>394.5</v>
      </c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2"/>
    </row>
    <row r="2">
      <c r="A2" s="1" t="s">
        <v>2</v>
      </c>
      <c r="B2" s="2" t="s">
        <v>3</v>
      </c>
      <c r="D2" s="3">
        <f>9+10+21+4+21</f>
        <v>65</v>
      </c>
      <c r="E2" s="3"/>
      <c r="G2" s="2"/>
      <c r="H2" s="2"/>
      <c r="I2" s="2"/>
      <c r="J2" s="2"/>
      <c r="K2" s="2"/>
    </row>
    <row r="3">
      <c r="A3" s="13"/>
      <c r="B3" s="3" t="s">
        <v>4</v>
      </c>
      <c r="C3" s="13"/>
      <c r="D3" s="3"/>
      <c r="E3" s="3"/>
      <c r="F3" s="13"/>
      <c r="G3" s="3"/>
      <c r="H3" s="13"/>
      <c r="I3" s="3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8.25" customHeight="1">
      <c r="B4" s="2" t="s">
        <v>5</v>
      </c>
      <c r="C4" s="2"/>
      <c r="D4" s="2"/>
      <c r="E4" s="2"/>
      <c r="G4" s="2"/>
      <c r="H4" s="2"/>
      <c r="I4" s="2"/>
      <c r="J4" s="2"/>
      <c r="K4" s="2"/>
    </row>
    <row r="5">
      <c r="B5" s="2" t="s">
        <v>6</v>
      </c>
      <c r="C5" s="2"/>
      <c r="D5" s="4">
        <f>103+120+186</f>
        <v>409</v>
      </c>
      <c r="E5" s="4"/>
      <c r="G5" s="2"/>
      <c r="H5" s="2"/>
      <c r="I5" s="3"/>
      <c r="J5" s="2"/>
      <c r="K5" s="2"/>
    </row>
    <row r="6">
      <c r="A6" s="1" t="s">
        <v>7</v>
      </c>
      <c r="B6" s="2" t="s">
        <v>8</v>
      </c>
      <c r="D6" s="4"/>
      <c r="E6" s="4"/>
      <c r="G6" s="2"/>
      <c r="H6" s="2"/>
      <c r="I6" s="2"/>
      <c r="J6" s="2"/>
      <c r="K6" s="2"/>
    </row>
    <row r="7">
      <c r="B7" s="2" t="s">
        <v>9</v>
      </c>
      <c r="C7" s="2"/>
      <c r="D7" s="4"/>
      <c r="E7" s="4"/>
      <c r="G7" s="2"/>
      <c r="H7" s="2"/>
      <c r="I7" s="2"/>
      <c r="J7" s="2"/>
      <c r="K7" s="2"/>
    </row>
    <row r="8">
      <c r="B8" s="6"/>
      <c r="C8" s="5">
        <f t="shared" ref="C8:D8" si="1">SUM(C2:C7)</f>
        <v>0</v>
      </c>
      <c r="D8" s="5">
        <f t="shared" si="1"/>
        <v>474</v>
      </c>
      <c r="E8" s="5"/>
      <c r="F8" s="2"/>
      <c r="G8" s="2"/>
      <c r="H8" s="2"/>
      <c r="J8" s="2"/>
      <c r="K8" s="2"/>
    </row>
    <row r="9">
      <c r="B9" s="2" t="s">
        <v>11</v>
      </c>
      <c r="D9" s="2">
        <v>26.0</v>
      </c>
      <c r="E9" s="2"/>
      <c r="G9" s="2"/>
      <c r="H9" s="2"/>
      <c r="J9" s="2"/>
      <c r="K9" s="2"/>
    </row>
    <row r="10">
      <c r="B10" s="2" t="s">
        <v>12</v>
      </c>
      <c r="E10" s="2"/>
      <c r="F10" s="7"/>
      <c r="G10" s="2"/>
      <c r="H10" s="2"/>
      <c r="J10" s="2"/>
      <c r="K10" s="2"/>
    </row>
    <row r="11">
      <c r="B11" s="2" t="s">
        <v>13</v>
      </c>
      <c r="E11" s="2"/>
      <c r="G11" s="2"/>
      <c r="H11" s="2"/>
      <c r="I11" s="2"/>
      <c r="J11" s="2"/>
      <c r="K11" s="2"/>
    </row>
    <row r="12">
      <c r="B12" s="2" t="s">
        <v>14</v>
      </c>
      <c r="D12" s="2">
        <v>216.0</v>
      </c>
      <c r="E12" s="2"/>
    </row>
    <row r="13">
      <c r="B13" s="2" t="s">
        <v>15</v>
      </c>
      <c r="C13" s="2">
        <v>30.0</v>
      </c>
      <c r="E13" s="2"/>
      <c r="H13" s="2"/>
      <c r="J13" s="8"/>
    </row>
    <row r="14">
      <c r="B14" s="2" t="s">
        <v>16</v>
      </c>
      <c r="E14" s="2"/>
      <c r="H14" s="2"/>
      <c r="I14" s="2"/>
    </row>
    <row r="15">
      <c r="B15" s="2" t="s">
        <v>17</v>
      </c>
      <c r="C15">
        <f>1007</f>
        <v>1007</v>
      </c>
      <c r="E15" s="2"/>
      <c r="H15" s="2"/>
      <c r="I15" s="2"/>
    </row>
    <row r="16">
      <c r="B16" s="2" t="s">
        <v>18</v>
      </c>
      <c r="C16" s="2"/>
      <c r="D16" s="2"/>
      <c r="E16" s="2"/>
      <c r="H16" s="2"/>
      <c r="I16" s="2"/>
    </row>
    <row r="17">
      <c r="A17" s="5" t="s">
        <v>10</v>
      </c>
      <c r="B17" s="6"/>
      <c r="C17" s="5">
        <f t="shared" ref="C17:D17" si="2">SUM(C9:C16)</f>
        <v>1037</v>
      </c>
      <c r="D17" s="5">
        <f t="shared" si="2"/>
        <v>242</v>
      </c>
      <c r="E17" s="5"/>
      <c r="H17" s="2"/>
      <c r="I17" s="2"/>
    </row>
    <row r="18">
      <c r="A18" s="1" t="s">
        <v>19</v>
      </c>
      <c r="B18" s="2" t="s">
        <v>20</v>
      </c>
      <c r="C18">
        <f>44</f>
        <v>44</v>
      </c>
      <c r="D18" s="2"/>
      <c r="E18" s="2"/>
      <c r="H18" s="2"/>
      <c r="I18" s="2"/>
    </row>
    <row r="19">
      <c r="B19" s="2" t="s">
        <v>21</v>
      </c>
      <c r="C19" s="2">
        <f>90+12+50+29+9+43+51</f>
        <v>284</v>
      </c>
      <c r="D19" s="2">
        <f>160+4+206+40+38+3</f>
        <v>451</v>
      </c>
      <c r="E19" s="2"/>
      <c r="F19" s="2"/>
      <c r="H19" s="2"/>
      <c r="I19" s="2"/>
    </row>
    <row r="20">
      <c r="B20" s="2" t="s">
        <v>22</v>
      </c>
      <c r="H20" s="2"/>
      <c r="I20" s="2"/>
    </row>
    <row r="21">
      <c r="A21" s="5" t="s">
        <v>10</v>
      </c>
      <c r="B21" s="5"/>
      <c r="C21" s="5">
        <f t="shared" ref="C21:D21" si="3">sum(C18:C20)</f>
        <v>328</v>
      </c>
      <c r="D21" s="5">
        <f t="shared" si="3"/>
        <v>451</v>
      </c>
      <c r="E21" s="6"/>
    </row>
    <row r="22">
      <c r="A22" s="1" t="s">
        <v>23</v>
      </c>
      <c r="B22" s="2" t="s">
        <v>24</v>
      </c>
      <c r="D22" s="2"/>
    </row>
    <row r="23">
      <c r="B23" s="2" t="s">
        <v>25</v>
      </c>
      <c r="C23" s="2"/>
      <c r="D23" s="2">
        <v>56.0</v>
      </c>
    </row>
    <row r="24">
      <c r="B24" s="2" t="s">
        <v>26</v>
      </c>
      <c r="D24" s="2"/>
    </row>
    <row r="25">
      <c r="B25" s="2" t="s">
        <v>27</v>
      </c>
      <c r="C25" s="2"/>
      <c r="D25" s="2">
        <v>16.0</v>
      </c>
    </row>
    <row r="26">
      <c r="B26" s="2" t="s">
        <v>28</v>
      </c>
      <c r="C26" s="2"/>
      <c r="D26" s="2"/>
    </row>
    <row r="27">
      <c r="B27" s="2" t="s">
        <v>29</v>
      </c>
      <c r="C27" s="9"/>
      <c r="D27" s="10"/>
      <c r="E27" s="10"/>
    </row>
    <row r="28">
      <c r="A28" s="5" t="s">
        <v>10</v>
      </c>
      <c r="B28" s="5"/>
      <c r="C28" s="5">
        <f t="shared" ref="C28:D28" si="4">sum(C22:C27)</f>
        <v>0</v>
      </c>
      <c r="D28" s="5">
        <f t="shared" si="4"/>
        <v>72</v>
      </c>
      <c r="E28" s="6"/>
      <c r="H28" s="2" t="s">
        <v>30</v>
      </c>
    </row>
    <row r="29">
      <c r="A29" s="11" t="s">
        <v>10</v>
      </c>
    </row>
    <row r="30">
      <c r="A30" s="11" t="s">
        <v>31</v>
      </c>
      <c r="B30" s="12"/>
      <c r="C30" s="12"/>
      <c r="D30">
        <f>C8+C17+C21+C28</f>
        <v>1365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1" t="s">
        <v>32</v>
      </c>
      <c r="B31" s="13"/>
      <c r="C31" s="13"/>
      <c r="D31" s="3">
        <f>D8+D17+D21+D28</f>
        <v>1239</v>
      </c>
      <c r="E31" s="3"/>
    </row>
    <row r="32">
      <c r="A32" s="11" t="s">
        <v>33</v>
      </c>
      <c r="B32" s="13"/>
      <c r="C32" s="13"/>
      <c r="D32" s="4">
        <f>(D31-D30)/2</f>
        <v>-63</v>
      </c>
      <c r="E32" s="13"/>
    </row>
    <row r="33">
      <c r="A33" s="14"/>
    </row>
    <row r="34">
      <c r="A34" s="2" t="s">
        <v>34</v>
      </c>
    </row>
    <row r="35">
      <c r="A35" s="1" t="s">
        <v>35</v>
      </c>
      <c r="B35" s="1" t="s">
        <v>36</v>
      </c>
      <c r="F35" s="1" t="s">
        <v>37</v>
      </c>
      <c r="G35" s="1" t="s">
        <v>36</v>
      </c>
      <c r="I35" s="15" t="s">
        <v>38</v>
      </c>
      <c r="J35" s="16">
        <f>B42-G42</f>
        <v>-858</v>
      </c>
    </row>
    <row r="36">
      <c r="A36" s="17" t="s">
        <v>39</v>
      </c>
      <c r="B36" s="18">
        <f>D32</f>
        <v>-63</v>
      </c>
      <c r="F36" s="17" t="s">
        <v>40</v>
      </c>
      <c r="G36" s="16">
        <v>200.0</v>
      </c>
    </row>
    <row r="37">
      <c r="A37" s="17" t="s">
        <v>41</v>
      </c>
      <c r="B37" s="17">
        <v>-663.0</v>
      </c>
      <c r="F37" s="19" t="s">
        <v>49</v>
      </c>
      <c r="G37" s="17">
        <v>54.0</v>
      </c>
      <c r="I37" s="3" t="s">
        <v>42</v>
      </c>
    </row>
    <row r="38">
      <c r="A38" s="17" t="s">
        <v>43</v>
      </c>
      <c r="B38" s="17">
        <v>115.0</v>
      </c>
      <c r="D38" s="2"/>
      <c r="E38" s="2"/>
      <c r="F38" s="17"/>
      <c r="G38" s="16">
        <v>0.0</v>
      </c>
      <c r="H38" s="2"/>
      <c r="I38" s="15" t="s">
        <v>44</v>
      </c>
      <c r="J38" s="20">
        <f>D17/2</f>
        <v>121</v>
      </c>
    </row>
    <row r="39">
      <c r="A39" s="17" t="s">
        <v>50</v>
      </c>
      <c r="B39" s="17">
        <v>7.0</v>
      </c>
      <c r="F39" s="17"/>
      <c r="G39" s="16"/>
      <c r="I39" s="15" t="s">
        <v>45</v>
      </c>
      <c r="J39" s="20">
        <f>D8/2</f>
        <v>237</v>
      </c>
    </row>
    <row r="40">
      <c r="A40" s="17"/>
      <c r="B40" s="17"/>
      <c r="F40" s="17"/>
      <c r="G40" s="17"/>
      <c r="I40" s="15" t="s">
        <v>46</v>
      </c>
      <c r="J40" s="20">
        <f>D21/2</f>
        <v>225.5</v>
      </c>
    </row>
    <row r="41">
      <c r="A41" s="17"/>
      <c r="B41" s="21"/>
      <c r="F41" s="17"/>
      <c r="G41" s="17"/>
      <c r="I41" s="15" t="s">
        <v>47</v>
      </c>
      <c r="J41" s="20">
        <f>D28/2</f>
        <v>36</v>
      </c>
    </row>
    <row r="42">
      <c r="A42" s="17" t="s">
        <v>10</v>
      </c>
      <c r="B42" s="22">
        <f>sum(B36:B41)</f>
        <v>-604</v>
      </c>
      <c r="F42" s="17" t="s">
        <v>10</v>
      </c>
      <c r="G42" s="18">
        <f>sum(G36:G41)</f>
        <v>254</v>
      </c>
      <c r="I42" s="15" t="s">
        <v>48</v>
      </c>
      <c r="J42" s="20">
        <f>sum(J38:J41)</f>
        <v>619.5</v>
      </c>
    </row>
    <row r="45">
      <c r="A45" s="2" t="s">
        <v>49</v>
      </c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2"/>
    </row>
    <row r="2">
      <c r="A2" s="1" t="s">
        <v>2</v>
      </c>
      <c r="B2" s="2" t="s">
        <v>3</v>
      </c>
      <c r="D2" s="3">
        <f>19+5+18+25+3+2+20+3+6</f>
        <v>101</v>
      </c>
      <c r="E2" s="3"/>
      <c r="G2" s="2"/>
      <c r="H2" s="2"/>
      <c r="I2" s="2"/>
      <c r="J2" s="2"/>
      <c r="K2" s="2"/>
    </row>
    <row r="3">
      <c r="A3" s="13"/>
      <c r="B3" s="3" t="s">
        <v>4</v>
      </c>
      <c r="C3" s="13"/>
      <c r="D3" s="3"/>
      <c r="E3" s="3"/>
      <c r="F3" s="13"/>
      <c r="G3" s="3"/>
      <c r="H3" s="13"/>
      <c r="I3" s="3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8.25" customHeight="1">
      <c r="B4" s="2" t="s">
        <v>5</v>
      </c>
      <c r="C4" s="2"/>
      <c r="D4" s="2">
        <f>30+53</f>
        <v>83</v>
      </c>
      <c r="E4" s="2"/>
      <c r="G4" s="2"/>
      <c r="H4" s="2"/>
      <c r="I4" s="2"/>
      <c r="J4" s="2"/>
      <c r="K4" s="2"/>
    </row>
    <row r="5">
      <c r="B5" s="2" t="s">
        <v>6</v>
      </c>
      <c r="C5" s="2">
        <f>8+4+12</f>
        <v>24</v>
      </c>
      <c r="D5" s="4">
        <f>98+8+117+76+104+127</f>
        <v>530</v>
      </c>
      <c r="E5" s="4"/>
      <c r="G5" s="2"/>
      <c r="H5" s="2"/>
      <c r="I5" s="3"/>
      <c r="J5" s="2"/>
      <c r="K5" s="2"/>
    </row>
    <row r="6">
      <c r="A6" s="1" t="s">
        <v>7</v>
      </c>
      <c r="B6" s="2" t="s">
        <v>8</v>
      </c>
      <c r="D6" s="4"/>
      <c r="E6" s="4"/>
      <c r="G6" s="2"/>
      <c r="H6" s="2"/>
      <c r="I6" s="2"/>
      <c r="J6" s="2"/>
      <c r="K6" s="2"/>
    </row>
    <row r="7">
      <c r="B7" s="2" t="s">
        <v>9</v>
      </c>
      <c r="C7" s="2"/>
      <c r="D7" s="4"/>
      <c r="E7" s="4"/>
      <c r="G7" s="2"/>
      <c r="H7" s="2"/>
      <c r="I7" s="2"/>
      <c r="J7" s="2"/>
      <c r="K7" s="2"/>
    </row>
    <row r="8">
      <c r="B8" s="6"/>
      <c r="C8" s="5">
        <f t="shared" ref="C8:D8" si="1">SUM(C2:C7)</f>
        <v>24</v>
      </c>
      <c r="D8" s="5">
        <f t="shared" si="1"/>
        <v>714</v>
      </c>
      <c r="E8" s="5"/>
      <c r="F8" s="2"/>
      <c r="G8" s="2"/>
      <c r="H8" s="2"/>
      <c r="J8" s="2"/>
      <c r="K8" s="2"/>
    </row>
    <row r="9">
      <c r="B9" s="2" t="s">
        <v>11</v>
      </c>
      <c r="D9" s="2">
        <v>26.0</v>
      </c>
      <c r="E9" s="2"/>
      <c r="G9" s="2"/>
      <c r="H9" s="2"/>
      <c r="J9" s="2"/>
      <c r="K9" s="2"/>
    </row>
    <row r="10">
      <c r="B10" s="2" t="s">
        <v>12</v>
      </c>
      <c r="E10" s="2"/>
      <c r="F10" s="7"/>
      <c r="G10" s="2"/>
      <c r="H10" s="2"/>
      <c r="J10" s="2"/>
      <c r="K10" s="2"/>
    </row>
    <row r="11">
      <c r="B11" s="2" t="s">
        <v>13</v>
      </c>
      <c r="E11" s="2"/>
      <c r="G11" s="2"/>
      <c r="H11" s="2"/>
      <c r="I11" s="2"/>
      <c r="J11" s="2"/>
      <c r="K11" s="2"/>
    </row>
    <row r="12">
      <c r="B12" s="2" t="s">
        <v>14</v>
      </c>
      <c r="D12" s="2">
        <v>216.0</v>
      </c>
      <c r="E12" s="2"/>
    </row>
    <row r="13">
      <c r="B13" s="2" t="s">
        <v>15</v>
      </c>
      <c r="C13" s="2"/>
      <c r="E13" s="2"/>
      <c r="H13" s="2"/>
      <c r="J13" s="8"/>
    </row>
    <row r="14">
      <c r="B14" s="2" t="s">
        <v>16</v>
      </c>
      <c r="E14" s="2"/>
      <c r="H14" s="2"/>
      <c r="I14" s="2"/>
    </row>
    <row r="15">
      <c r="B15" s="2" t="s">
        <v>17</v>
      </c>
      <c r="E15" s="2"/>
      <c r="H15" s="2"/>
      <c r="I15" s="2"/>
    </row>
    <row r="16">
      <c r="B16" s="2" t="s">
        <v>18</v>
      </c>
      <c r="C16" s="2"/>
      <c r="D16" s="2"/>
      <c r="E16" s="2"/>
      <c r="H16" s="2"/>
      <c r="I16" s="2"/>
    </row>
    <row r="17">
      <c r="A17" s="1" t="s">
        <v>19</v>
      </c>
      <c r="B17" s="2" t="s">
        <v>20</v>
      </c>
      <c r="D17" s="2"/>
      <c r="E17" s="2"/>
      <c r="H17" s="2"/>
      <c r="I17" s="2"/>
    </row>
    <row r="18">
      <c r="A18" s="5" t="s">
        <v>10</v>
      </c>
      <c r="B18" s="6"/>
      <c r="C18" s="5">
        <f t="shared" ref="C18:D18" si="2">SUM(C9:C16)</f>
        <v>0</v>
      </c>
      <c r="D18" s="5">
        <f t="shared" si="2"/>
        <v>242</v>
      </c>
      <c r="E18" s="5"/>
      <c r="H18" s="2"/>
      <c r="I18" s="2"/>
    </row>
    <row r="19">
      <c r="B19" s="2" t="s">
        <v>21</v>
      </c>
      <c r="C19" s="2"/>
      <c r="D19" s="2">
        <v>100.0</v>
      </c>
      <c r="E19" s="2"/>
      <c r="F19" s="2"/>
      <c r="H19" s="2"/>
      <c r="I19" s="2"/>
    </row>
    <row r="20">
      <c r="B20" s="2" t="s">
        <v>22</v>
      </c>
      <c r="H20" s="2"/>
      <c r="I20" s="2"/>
    </row>
    <row r="21">
      <c r="A21" s="5" t="s">
        <v>10</v>
      </c>
      <c r="B21" s="5"/>
      <c r="C21" s="5">
        <f>SUM(C17:C19)</f>
        <v>0</v>
      </c>
      <c r="D21" s="5">
        <f>SUM(D19:D20)</f>
        <v>100</v>
      </c>
      <c r="E21" s="6"/>
    </row>
    <row r="22">
      <c r="A22" s="1" t="s">
        <v>23</v>
      </c>
      <c r="B22" s="2" t="s">
        <v>24</v>
      </c>
      <c r="D22" s="2"/>
    </row>
    <row r="23">
      <c r="B23" s="2" t="s">
        <v>25</v>
      </c>
      <c r="C23" s="2"/>
      <c r="D23" s="2"/>
    </row>
    <row r="24">
      <c r="B24" s="2" t="s">
        <v>26</v>
      </c>
      <c r="D24" s="2"/>
    </row>
    <row r="25">
      <c r="B25" s="2" t="s">
        <v>27</v>
      </c>
      <c r="C25" s="2"/>
      <c r="D25" s="2"/>
    </row>
    <row r="26">
      <c r="B26" s="2" t="s">
        <v>28</v>
      </c>
      <c r="C26" s="2"/>
      <c r="D26" s="2">
        <f>8+70+8+440</f>
        <v>526</v>
      </c>
    </row>
    <row r="27">
      <c r="B27" s="2" t="s">
        <v>29</v>
      </c>
      <c r="C27" s="9"/>
      <c r="D27" s="10"/>
      <c r="E27" s="10"/>
    </row>
    <row r="28">
      <c r="A28" s="5" t="s">
        <v>10</v>
      </c>
      <c r="B28" s="5"/>
      <c r="C28" s="5">
        <f t="shared" ref="C28:D28" si="3">sum(C22:C27)</f>
        <v>0</v>
      </c>
      <c r="D28" s="5">
        <f t="shared" si="3"/>
        <v>526</v>
      </c>
      <c r="E28" s="6"/>
      <c r="H28" s="2" t="s">
        <v>30</v>
      </c>
    </row>
    <row r="29">
      <c r="A29" s="11" t="s">
        <v>10</v>
      </c>
    </row>
    <row r="30">
      <c r="A30" s="11" t="s">
        <v>31</v>
      </c>
      <c r="B30" s="12"/>
      <c r="C30" s="12"/>
      <c r="D30">
        <f>C8+C18+C21+C28</f>
        <v>24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1" t="s">
        <v>32</v>
      </c>
      <c r="B31" s="13"/>
      <c r="C31" s="13"/>
      <c r="D31" s="3">
        <f>D8+D18+D21+D28</f>
        <v>1582</v>
      </c>
      <c r="E31" s="3"/>
    </row>
    <row r="32">
      <c r="A32" s="11" t="s">
        <v>33</v>
      </c>
      <c r="B32" s="13"/>
      <c r="C32" s="13"/>
      <c r="D32" s="4">
        <f>(D31-D30)/2</f>
        <v>779</v>
      </c>
      <c r="E32" s="13"/>
    </row>
    <row r="33">
      <c r="A33" s="14"/>
    </row>
    <row r="34">
      <c r="A34" s="2" t="s">
        <v>34</v>
      </c>
    </row>
    <row r="35">
      <c r="A35" s="1" t="s">
        <v>35</v>
      </c>
      <c r="B35" s="1" t="s">
        <v>36</v>
      </c>
      <c r="F35" s="1" t="s">
        <v>37</v>
      </c>
      <c r="G35" s="1" t="s">
        <v>36</v>
      </c>
      <c r="I35" s="15" t="s">
        <v>38</v>
      </c>
      <c r="J35" s="16">
        <f>B42-G42</f>
        <v>142</v>
      </c>
    </row>
    <row r="36">
      <c r="A36" s="17" t="s">
        <v>39</v>
      </c>
      <c r="B36" s="18">
        <f>D32</f>
        <v>779</v>
      </c>
      <c r="F36" s="17" t="s">
        <v>40</v>
      </c>
      <c r="G36" s="16"/>
    </row>
    <row r="37">
      <c r="A37" s="17" t="s">
        <v>41</v>
      </c>
      <c r="B37" s="17">
        <v>-858.0</v>
      </c>
      <c r="F37" s="19"/>
      <c r="G37" s="17"/>
      <c r="I37" s="3" t="s">
        <v>42</v>
      </c>
    </row>
    <row r="38">
      <c r="A38" s="17" t="s">
        <v>43</v>
      </c>
      <c r="B38" s="17">
        <v>115.0</v>
      </c>
      <c r="D38" s="2"/>
      <c r="E38" s="2"/>
      <c r="F38" s="17"/>
      <c r="G38" s="16">
        <v>0.0</v>
      </c>
      <c r="H38" s="2"/>
      <c r="I38" s="15" t="s">
        <v>44</v>
      </c>
      <c r="J38" s="20">
        <f>D18/2</f>
        <v>121</v>
      </c>
    </row>
    <row r="39">
      <c r="A39" s="17" t="s">
        <v>51</v>
      </c>
      <c r="B39" s="17">
        <v>17.0</v>
      </c>
      <c r="F39" s="17"/>
      <c r="G39" s="16"/>
      <c r="I39" s="15" t="s">
        <v>45</v>
      </c>
      <c r="J39" s="20">
        <f>D8/2</f>
        <v>357</v>
      </c>
    </row>
    <row r="40">
      <c r="A40" s="17" t="s">
        <v>52</v>
      </c>
      <c r="B40" s="17">
        <v>19.0</v>
      </c>
      <c r="F40" s="17"/>
      <c r="G40" s="17"/>
      <c r="I40" s="15" t="s">
        <v>46</v>
      </c>
      <c r="J40" s="20">
        <f>D21/2</f>
        <v>50</v>
      </c>
    </row>
    <row r="41">
      <c r="A41" s="17" t="s">
        <v>53</v>
      </c>
      <c r="B41" s="21">
        <v>70.0</v>
      </c>
      <c r="F41" s="17"/>
      <c r="G41" s="17"/>
      <c r="I41" s="15" t="s">
        <v>47</v>
      </c>
      <c r="J41" s="20">
        <f>D28/2</f>
        <v>263</v>
      </c>
    </row>
    <row r="42">
      <c r="A42" s="17" t="s">
        <v>10</v>
      </c>
      <c r="B42" s="22">
        <f>sum(B36:B41)</f>
        <v>142</v>
      </c>
      <c r="F42" s="17" t="s">
        <v>10</v>
      </c>
      <c r="G42" s="18">
        <f>sum(G36:G41)</f>
        <v>0</v>
      </c>
      <c r="I42" s="15" t="s">
        <v>48</v>
      </c>
      <c r="J42" s="20">
        <f>sum(J38:J41)</f>
        <v>791</v>
      </c>
    </row>
    <row r="45">
      <c r="A45" s="2" t="s">
        <v>49</v>
      </c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2"/>
    </row>
    <row r="2">
      <c r="A2" s="1" t="s">
        <v>2</v>
      </c>
      <c r="B2" s="2" t="s">
        <v>3</v>
      </c>
      <c r="D2" s="3">
        <f>10+8+11+11</f>
        <v>40</v>
      </c>
      <c r="E2" s="3"/>
      <c r="G2" s="2"/>
      <c r="H2" s="2"/>
      <c r="I2" s="2"/>
      <c r="J2" s="2"/>
      <c r="K2" s="2"/>
    </row>
    <row r="3">
      <c r="A3" s="13"/>
      <c r="B3" s="3" t="s">
        <v>4</v>
      </c>
      <c r="C3" s="13"/>
      <c r="D3" s="3"/>
      <c r="E3" s="3"/>
      <c r="F3" s="13"/>
      <c r="G3" s="3"/>
      <c r="H3" s="13"/>
      <c r="I3" s="3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8.25" customHeight="1">
      <c r="B4" s="2" t="s">
        <v>5</v>
      </c>
      <c r="C4" s="2"/>
      <c r="D4" s="2">
        <f>31+13+21+39</f>
        <v>104</v>
      </c>
      <c r="E4" s="2"/>
      <c r="G4" s="2"/>
      <c r="H4" s="2"/>
      <c r="I4" s="2"/>
      <c r="J4" s="2"/>
      <c r="K4" s="2"/>
    </row>
    <row r="5">
      <c r="B5" s="2" t="s">
        <v>6</v>
      </c>
      <c r="C5" s="2"/>
      <c r="D5" s="4">
        <f>122+134+132+68</f>
        <v>456</v>
      </c>
      <c r="E5" s="4"/>
      <c r="G5" s="2"/>
      <c r="H5" s="2"/>
      <c r="I5" s="3"/>
      <c r="J5" s="2"/>
      <c r="K5" s="2"/>
    </row>
    <row r="6">
      <c r="A6" s="1" t="s">
        <v>7</v>
      </c>
      <c r="B6" s="2" t="s">
        <v>8</v>
      </c>
      <c r="D6" s="4"/>
      <c r="E6" s="4"/>
      <c r="G6" s="2"/>
      <c r="H6" s="2"/>
      <c r="I6" s="2"/>
      <c r="J6" s="2"/>
      <c r="K6" s="2"/>
    </row>
    <row r="7">
      <c r="B7" s="2" t="s">
        <v>9</v>
      </c>
      <c r="C7" s="2"/>
      <c r="D7" s="4"/>
      <c r="E7" s="4"/>
      <c r="G7" s="2"/>
      <c r="H7" s="2"/>
      <c r="I7" s="2"/>
      <c r="J7" s="2"/>
      <c r="K7" s="2"/>
    </row>
    <row r="8">
      <c r="B8" s="6"/>
      <c r="C8" s="5">
        <f t="shared" ref="C8:D8" si="1">SUM(C2:C7)</f>
        <v>0</v>
      </c>
      <c r="D8" s="5">
        <f t="shared" si="1"/>
        <v>600</v>
      </c>
      <c r="E8" s="5"/>
      <c r="F8" s="2"/>
      <c r="G8" s="2"/>
      <c r="H8" s="2"/>
      <c r="J8" s="2"/>
      <c r="K8" s="2"/>
    </row>
    <row r="9">
      <c r="B9" s="2" t="s">
        <v>11</v>
      </c>
      <c r="D9" s="2">
        <v>26.0</v>
      </c>
      <c r="E9" s="2"/>
      <c r="G9" s="2"/>
      <c r="H9" s="2"/>
      <c r="J9" s="2"/>
      <c r="K9" s="2"/>
    </row>
    <row r="10">
      <c r="B10" s="2" t="s">
        <v>12</v>
      </c>
      <c r="E10" s="2"/>
      <c r="F10" s="7"/>
      <c r="G10" s="2"/>
      <c r="H10" s="2"/>
      <c r="J10" s="2"/>
      <c r="K10" s="2"/>
    </row>
    <row r="11">
      <c r="B11" s="2" t="s">
        <v>13</v>
      </c>
      <c r="E11" s="2"/>
      <c r="G11" s="2"/>
      <c r="H11" s="2"/>
      <c r="I11" s="2"/>
      <c r="J11" s="2"/>
      <c r="K11" s="2"/>
    </row>
    <row r="12">
      <c r="B12" s="2" t="s">
        <v>14</v>
      </c>
      <c r="D12" s="2">
        <v>216.0</v>
      </c>
      <c r="E12" s="2"/>
    </row>
    <row r="13">
      <c r="B13" s="2" t="s">
        <v>15</v>
      </c>
      <c r="C13" s="2">
        <v>9.0</v>
      </c>
      <c r="E13" s="2"/>
      <c r="H13" s="2"/>
      <c r="J13" s="8"/>
    </row>
    <row r="14">
      <c r="B14" s="2" t="s">
        <v>16</v>
      </c>
      <c r="C14" s="2">
        <v>1846.0</v>
      </c>
      <c r="E14" s="2"/>
      <c r="H14" s="2"/>
      <c r="I14" s="2"/>
    </row>
    <row r="15">
      <c r="B15" s="2" t="s">
        <v>17</v>
      </c>
      <c r="E15" s="2"/>
      <c r="H15" s="2"/>
      <c r="I15" s="2"/>
    </row>
    <row r="16">
      <c r="B16" s="2" t="s">
        <v>18</v>
      </c>
      <c r="C16" s="2"/>
      <c r="D16" s="2"/>
      <c r="E16" s="2"/>
      <c r="H16" s="2"/>
      <c r="I16" s="2"/>
    </row>
    <row r="17">
      <c r="A17" s="1" t="s">
        <v>19</v>
      </c>
      <c r="B17" s="2" t="s">
        <v>20</v>
      </c>
      <c r="D17" s="2"/>
      <c r="E17" s="2"/>
      <c r="H17" s="2"/>
      <c r="I17" s="2"/>
    </row>
    <row r="18">
      <c r="A18" s="5" t="s">
        <v>10</v>
      </c>
      <c r="B18" s="6"/>
      <c r="C18" s="5">
        <f t="shared" ref="C18:D18" si="2">SUM(C9:C16)</f>
        <v>1855</v>
      </c>
      <c r="D18" s="5">
        <f t="shared" si="2"/>
        <v>242</v>
      </c>
      <c r="E18" s="5"/>
      <c r="H18" s="2"/>
      <c r="I18" s="2"/>
    </row>
    <row r="19">
      <c r="B19" s="2" t="s">
        <v>21</v>
      </c>
      <c r="C19" s="2">
        <v>18.0</v>
      </c>
      <c r="D19" s="2"/>
      <c r="E19" s="2"/>
      <c r="F19" s="2"/>
      <c r="H19" s="2"/>
      <c r="I19" s="2"/>
    </row>
    <row r="20">
      <c r="B20" s="2" t="s">
        <v>22</v>
      </c>
      <c r="D20" s="2">
        <v>9.0</v>
      </c>
      <c r="H20" s="2"/>
      <c r="I20" s="2"/>
    </row>
    <row r="21">
      <c r="A21" s="5" t="s">
        <v>10</v>
      </c>
      <c r="B21" s="5"/>
      <c r="C21" s="5">
        <f t="shared" ref="C21:D21" si="3">SUM(C19:C20)</f>
        <v>18</v>
      </c>
      <c r="D21" s="5">
        <f t="shared" si="3"/>
        <v>9</v>
      </c>
      <c r="E21" s="6"/>
    </row>
    <row r="22">
      <c r="A22" s="1" t="s">
        <v>23</v>
      </c>
      <c r="B22" s="2" t="s">
        <v>24</v>
      </c>
      <c r="C22" s="2">
        <v>10.0</v>
      </c>
      <c r="D22" s="2"/>
    </row>
    <row r="23">
      <c r="B23" s="2" t="s">
        <v>25</v>
      </c>
      <c r="C23" s="2"/>
      <c r="D23" s="2">
        <v>100.0</v>
      </c>
    </row>
    <row r="24">
      <c r="B24" s="2" t="s">
        <v>26</v>
      </c>
      <c r="D24" s="2"/>
    </row>
    <row r="25">
      <c r="B25" s="2" t="s">
        <v>27</v>
      </c>
      <c r="C25" s="2"/>
      <c r="D25" s="2"/>
    </row>
    <row r="26">
      <c r="B26" s="2" t="s">
        <v>28</v>
      </c>
      <c r="C26" s="2"/>
      <c r="D26" s="2"/>
    </row>
    <row r="27">
      <c r="B27" s="2" t="s">
        <v>29</v>
      </c>
      <c r="C27" s="9"/>
      <c r="D27" s="10"/>
      <c r="E27" s="10"/>
    </row>
    <row r="28">
      <c r="A28" s="5" t="s">
        <v>10</v>
      </c>
      <c r="B28" s="5"/>
      <c r="C28" s="5">
        <f t="shared" ref="C28:D28" si="4">sum(C22:C27)</f>
        <v>10</v>
      </c>
      <c r="D28" s="5">
        <f t="shared" si="4"/>
        <v>100</v>
      </c>
      <c r="E28" s="6"/>
      <c r="H28" s="2" t="s">
        <v>30</v>
      </c>
    </row>
    <row r="29">
      <c r="A29" s="11" t="s">
        <v>10</v>
      </c>
    </row>
    <row r="30">
      <c r="A30" s="11" t="s">
        <v>31</v>
      </c>
      <c r="B30" s="12"/>
      <c r="C30" s="12"/>
      <c r="D30">
        <f>C8+C18+C21+C28</f>
        <v>1883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1" t="s">
        <v>32</v>
      </c>
      <c r="B31" s="13"/>
      <c r="C31" s="13"/>
      <c r="D31" s="3">
        <f>D8+D18+D21+D28</f>
        <v>951</v>
      </c>
      <c r="E31" s="3"/>
    </row>
    <row r="32">
      <c r="A32" s="11" t="s">
        <v>33</v>
      </c>
      <c r="B32" s="13"/>
      <c r="C32" s="13"/>
      <c r="D32" s="4">
        <f>(D31-D30)/2</f>
        <v>-466</v>
      </c>
      <c r="E32" s="13"/>
    </row>
    <row r="33">
      <c r="A33" s="14"/>
    </row>
    <row r="34">
      <c r="A34" s="2" t="s">
        <v>34</v>
      </c>
    </row>
    <row r="35">
      <c r="A35" s="1" t="s">
        <v>35</v>
      </c>
      <c r="B35" s="1" t="s">
        <v>36</v>
      </c>
      <c r="F35" s="1" t="s">
        <v>37</v>
      </c>
      <c r="G35" s="1" t="s">
        <v>36</v>
      </c>
      <c r="I35" s="15" t="s">
        <v>38</v>
      </c>
      <c r="J35" s="16">
        <f>B42-G42</f>
        <v>-194</v>
      </c>
    </row>
    <row r="36">
      <c r="A36" s="17" t="s">
        <v>39</v>
      </c>
      <c r="B36" s="18">
        <f>D32</f>
        <v>-466</v>
      </c>
      <c r="F36" s="17" t="s">
        <v>40</v>
      </c>
      <c r="G36" s="16"/>
    </row>
    <row r="37">
      <c r="A37" s="17" t="s">
        <v>41</v>
      </c>
      <c r="B37" s="17">
        <v>142.0</v>
      </c>
      <c r="F37" s="19"/>
      <c r="G37" s="17"/>
      <c r="I37" s="3" t="s">
        <v>42</v>
      </c>
    </row>
    <row r="38">
      <c r="A38" s="17" t="s">
        <v>43</v>
      </c>
      <c r="B38" s="17">
        <v>115.0</v>
      </c>
      <c r="D38" s="2"/>
      <c r="E38" s="2"/>
      <c r="F38" s="17"/>
      <c r="G38" s="16">
        <v>0.0</v>
      </c>
      <c r="H38" s="2"/>
      <c r="I38" s="15" t="s">
        <v>44</v>
      </c>
      <c r="J38" s="20">
        <f>D18/2</f>
        <v>121</v>
      </c>
    </row>
    <row r="39">
      <c r="A39" s="17" t="s">
        <v>54</v>
      </c>
      <c r="B39" s="17">
        <v>15.0</v>
      </c>
      <c r="F39" s="17"/>
      <c r="G39" s="16"/>
      <c r="I39" s="15" t="s">
        <v>45</v>
      </c>
      <c r="J39" s="20">
        <f>D8/2</f>
        <v>300</v>
      </c>
    </row>
    <row r="40">
      <c r="A40" s="17" t="s">
        <v>52</v>
      </c>
      <c r="B40" s="17"/>
      <c r="F40" s="17"/>
      <c r="G40" s="17"/>
      <c r="I40" s="15" t="s">
        <v>46</v>
      </c>
      <c r="J40" s="20">
        <f>D21/2</f>
        <v>4.5</v>
      </c>
    </row>
    <row r="41">
      <c r="A41" s="17" t="s">
        <v>53</v>
      </c>
      <c r="B41" s="21"/>
      <c r="F41" s="17"/>
      <c r="G41" s="17"/>
      <c r="I41" s="15" t="s">
        <v>47</v>
      </c>
      <c r="J41" s="20">
        <f>D28/2</f>
        <v>50</v>
      </c>
    </row>
    <row r="42">
      <c r="A42" s="17" t="s">
        <v>10</v>
      </c>
      <c r="B42" s="22">
        <f>sum(B36:B41)</f>
        <v>-194</v>
      </c>
      <c r="F42" s="17" t="s">
        <v>10</v>
      </c>
      <c r="G42" s="18">
        <f>sum(G36:G41)</f>
        <v>0</v>
      </c>
      <c r="I42" s="15" t="s">
        <v>48</v>
      </c>
      <c r="J42" s="20">
        <f>sum(J38:J41)</f>
        <v>475.5</v>
      </c>
    </row>
    <row r="45">
      <c r="A45" s="2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2"/>
    </row>
    <row r="2">
      <c r="A2" s="1" t="s">
        <v>2</v>
      </c>
      <c r="B2" s="2" t="s">
        <v>3</v>
      </c>
      <c r="D2" s="3">
        <f>9+19+5+4+9+4+34+12+4</f>
        <v>100</v>
      </c>
      <c r="E2" s="3"/>
      <c r="G2" s="2"/>
      <c r="H2" s="2"/>
      <c r="I2" s="2"/>
      <c r="J2" s="2"/>
      <c r="K2" s="2"/>
    </row>
    <row r="3">
      <c r="A3" s="13"/>
      <c r="B3" s="3" t="s">
        <v>4</v>
      </c>
      <c r="C3" s="13"/>
      <c r="D3" s="3"/>
      <c r="E3" s="3"/>
      <c r="F3" s="13"/>
      <c r="G3" s="3"/>
      <c r="H3" s="13"/>
      <c r="I3" s="3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8.25" customHeight="1">
      <c r="B4" s="2" t="s">
        <v>5</v>
      </c>
      <c r="C4" s="2"/>
      <c r="D4" s="2">
        <f>23+23+36</f>
        <v>82</v>
      </c>
      <c r="E4" s="2"/>
      <c r="G4" s="2"/>
      <c r="H4" s="2"/>
      <c r="I4" s="2"/>
      <c r="J4" s="2"/>
      <c r="K4" s="2"/>
    </row>
    <row r="5">
      <c r="B5" s="2" t="s">
        <v>6</v>
      </c>
      <c r="C5" s="2">
        <f>2</f>
        <v>2</v>
      </c>
      <c r="D5" s="4">
        <f>84+12+132+97+17+79</f>
        <v>421</v>
      </c>
      <c r="E5" s="4"/>
      <c r="G5" s="2"/>
      <c r="H5" s="2"/>
      <c r="I5" s="3"/>
      <c r="J5" s="2"/>
      <c r="K5" s="2"/>
    </row>
    <row r="6">
      <c r="A6" s="1" t="s">
        <v>7</v>
      </c>
      <c r="B6" s="2" t="s">
        <v>8</v>
      </c>
      <c r="D6" s="4"/>
      <c r="E6" s="4"/>
      <c r="G6" s="2"/>
      <c r="H6" s="2"/>
      <c r="I6" s="2"/>
      <c r="J6" s="2"/>
      <c r="K6" s="2"/>
    </row>
    <row r="7">
      <c r="B7" s="2" t="s">
        <v>9</v>
      </c>
      <c r="C7" s="2"/>
      <c r="D7" s="4"/>
      <c r="E7" s="4"/>
      <c r="G7" s="2"/>
      <c r="H7" s="2"/>
      <c r="I7" s="2"/>
      <c r="J7" s="2"/>
      <c r="K7" s="2"/>
    </row>
    <row r="8">
      <c r="B8" s="6"/>
      <c r="C8" s="5">
        <f t="shared" ref="C8:D8" si="1">SUM(C2:C7)</f>
        <v>2</v>
      </c>
      <c r="D8" s="5">
        <f t="shared" si="1"/>
        <v>603</v>
      </c>
      <c r="E8" s="5"/>
      <c r="F8" s="2"/>
      <c r="G8" s="2"/>
      <c r="H8" s="2"/>
      <c r="J8" s="2"/>
      <c r="K8" s="2"/>
    </row>
    <row r="9">
      <c r="B9" s="2" t="s">
        <v>11</v>
      </c>
      <c r="D9" s="2">
        <v>26.0</v>
      </c>
      <c r="E9" s="2"/>
      <c r="G9" s="2"/>
      <c r="H9" s="2"/>
      <c r="J9" s="2"/>
      <c r="K9" s="2"/>
    </row>
    <row r="10">
      <c r="B10" s="2" t="s">
        <v>12</v>
      </c>
      <c r="E10" s="2"/>
      <c r="F10" s="7"/>
      <c r="G10" s="2"/>
      <c r="H10" s="2"/>
      <c r="J10" s="2"/>
      <c r="K10" s="2"/>
    </row>
    <row r="11">
      <c r="B11" s="2" t="s">
        <v>13</v>
      </c>
      <c r="E11" s="2"/>
      <c r="G11" s="2"/>
      <c r="H11" s="2"/>
      <c r="I11" s="2"/>
      <c r="J11" s="2"/>
      <c r="K11" s="2"/>
    </row>
    <row r="12">
      <c r="B12" s="2" t="s">
        <v>14</v>
      </c>
      <c r="D12" s="2">
        <v>216.0</v>
      </c>
      <c r="E12" s="2"/>
    </row>
    <row r="13">
      <c r="B13" s="2" t="s">
        <v>15</v>
      </c>
      <c r="C13" s="2">
        <v>17.0</v>
      </c>
      <c r="E13" s="2"/>
      <c r="H13" s="2"/>
      <c r="J13" s="8"/>
    </row>
    <row r="14">
      <c r="B14" s="2" t="s">
        <v>16</v>
      </c>
      <c r="C14" s="2"/>
      <c r="E14" s="2"/>
      <c r="H14" s="2"/>
      <c r="I14" s="2"/>
    </row>
    <row r="15">
      <c r="B15" s="2" t="s">
        <v>17</v>
      </c>
      <c r="E15" s="2"/>
      <c r="H15" s="2"/>
      <c r="I15" s="2"/>
    </row>
    <row r="16">
      <c r="B16" s="2" t="s">
        <v>18</v>
      </c>
      <c r="C16" s="2"/>
      <c r="D16" s="2"/>
      <c r="E16" s="2"/>
      <c r="H16" s="2"/>
      <c r="I16" s="2"/>
    </row>
    <row r="17">
      <c r="A17" s="1" t="s">
        <v>19</v>
      </c>
      <c r="B17" s="2" t="s">
        <v>20</v>
      </c>
      <c r="D17" s="2"/>
      <c r="E17" s="2"/>
      <c r="H17" s="2"/>
      <c r="I17" s="2"/>
    </row>
    <row r="18">
      <c r="A18" s="5" t="s">
        <v>10</v>
      </c>
      <c r="B18" s="6"/>
      <c r="C18" s="5">
        <f t="shared" ref="C18:D18" si="2">SUM(C9:C16)</f>
        <v>17</v>
      </c>
      <c r="D18" s="5">
        <f t="shared" si="2"/>
        <v>242</v>
      </c>
      <c r="E18" s="5"/>
      <c r="H18" s="2"/>
      <c r="I18" s="2"/>
    </row>
    <row r="19">
      <c r="B19" s="2" t="s">
        <v>21</v>
      </c>
      <c r="C19" s="2"/>
      <c r="D19" s="2"/>
      <c r="E19" s="2"/>
      <c r="F19" s="2"/>
      <c r="H19" s="2"/>
      <c r="I19" s="2"/>
    </row>
    <row r="20">
      <c r="B20" s="2" t="s">
        <v>22</v>
      </c>
      <c r="C20">
        <f>8</f>
        <v>8</v>
      </c>
      <c r="D20" s="2"/>
      <c r="H20" s="2"/>
      <c r="I20" s="2"/>
    </row>
    <row r="21">
      <c r="A21" s="5" t="s">
        <v>10</v>
      </c>
      <c r="B21" s="5"/>
      <c r="C21" s="5">
        <f t="shared" ref="C21:D21" si="3">SUM(C19:C20)</f>
        <v>8</v>
      </c>
      <c r="D21" s="5">
        <f t="shared" si="3"/>
        <v>0</v>
      </c>
      <c r="E21" s="6"/>
    </row>
    <row r="22">
      <c r="A22" s="1" t="s">
        <v>23</v>
      </c>
      <c r="B22" s="2" t="s">
        <v>24</v>
      </c>
      <c r="C22" s="2"/>
      <c r="D22" s="2"/>
    </row>
    <row r="23">
      <c r="B23" s="2" t="s">
        <v>25</v>
      </c>
      <c r="C23" s="2"/>
      <c r="D23" s="2"/>
    </row>
    <row r="24">
      <c r="B24" s="2" t="s">
        <v>26</v>
      </c>
      <c r="D24" s="2"/>
    </row>
    <row r="25">
      <c r="B25" s="2" t="s">
        <v>27</v>
      </c>
      <c r="C25" s="2"/>
      <c r="D25" s="2">
        <f>35+20</f>
        <v>55</v>
      </c>
    </row>
    <row r="26">
      <c r="B26" s="2" t="s">
        <v>28</v>
      </c>
      <c r="C26" s="2">
        <v>102.0</v>
      </c>
      <c r="D26" s="2">
        <v>60.0</v>
      </c>
    </row>
    <row r="27">
      <c r="B27" s="2" t="s">
        <v>29</v>
      </c>
      <c r="C27" s="9"/>
      <c r="D27" s="10"/>
      <c r="E27" s="10"/>
    </row>
    <row r="28">
      <c r="A28" s="5" t="s">
        <v>10</v>
      </c>
      <c r="B28" s="5"/>
      <c r="C28" s="5">
        <f t="shared" ref="C28:D28" si="4">sum(C22:C27)</f>
        <v>102</v>
      </c>
      <c r="D28" s="5">
        <f t="shared" si="4"/>
        <v>115</v>
      </c>
      <c r="E28" s="6"/>
      <c r="H28" s="2" t="s">
        <v>30</v>
      </c>
    </row>
    <row r="29">
      <c r="A29" s="11" t="s">
        <v>10</v>
      </c>
    </row>
    <row r="30">
      <c r="A30" s="11" t="s">
        <v>31</v>
      </c>
      <c r="B30" s="12"/>
      <c r="C30" s="12"/>
      <c r="D30">
        <f>C8+C18+C21+C28</f>
        <v>129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1" t="s">
        <v>32</v>
      </c>
      <c r="B31" s="13"/>
      <c r="C31" s="13"/>
      <c r="D31" s="3">
        <f>D8+D18+D21+D28</f>
        <v>960</v>
      </c>
      <c r="E31" s="3"/>
    </row>
    <row r="32">
      <c r="A32" s="11" t="s">
        <v>33</v>
      </c>
      <c r="B32" s="13"/>
      <c r="C32" s="13"/>
      <c r="D32" s="4">
        <f>(D31-D30)/2</f>
        <v>415.5</v>
      </c>
      <c r="E32" s="13"/>
    </row>
    <row r="33">
      <c r="A33" s="14"/>
    </row>
    <row r="34">
      <c r="A34" s="2" t="s">
        <v>34</v>
      </c>
    </row>
    <row r="35">
      <c r="A35" s="1" t="s">
        <v>35</v>
      </c>
      <c r="B35" s="1" t="s">
        <v>36</v>
      </c>
      <c r="F35" s="1" t="s">
        <v>37</v>
      </c>
      <c r="G35" s="1" t="s">
        <v>36</v>
      </c>
      <c r="I35" s="15" t="s">
        <v>38</v>
      </c>
      <c r="J35" s="16">
        <f>B42-G42</f>
        <v>-263.5</v>
      </c>
    </row>
    <row r="36">
      <c r="A36" s="17" t="s">
        <v>39</v>
      </c>
      <c r="B36" s="18">
        <f>D32</f>
        <v>415.5</v>
      </c>
      <c r="F36" s="17" t="s">
        <v>40</v>
      </c>
      <c r="G36" s="16">
        <v>600.0</v>
      </c>
    </row>
    <row r="37">
      <c r="A37" s="17" t="s">
        <v>41</v>
      </c>
      <c r="B37" s="17">
        <v>-194.0</v>
      </c>
      <c r="F37" s="19" t="s">
        <v>52</v>
      </c>
      <c r="G37" s="17">
        <v>16.0</v>
      </c>
      <c r="I37" s="3" t="s">
        <v>42</v>
      </c>
    </row>
    <row r="38">
      <c r="A38" s="17" t="s">
        <v>43</v>
      </c>
      <c r="B38" s="17">
        <v>115.0</v>
      </c>
      <c r="D38" s="2"/>
      <c r="E38" s="2"/>
      <c r="F38" s="17"/>
      <c r="G38" s="16">
        <v>0.0</v>
      </c>
      <c r="H38" s="2"/>
      <c r="I38" s="15" t="s">
        <v>44</v>
      </c>
      <c r="J38" s="20">
        <f>D18/2</f>
        <v>121</v>
      </c>
    </row>
    <row r="39">
      <c r="A39" s="17" t="s">
        <v>55</v>
      </c>
      <c r="B39" s="17">
        <v>6.0</v>
      </c>
      <c r="F39" s="17"/>
      <c r="G39" s="16"/>
      <c r="I39" s="15" t="s">
        <v>45</v>
      </c>
      <c r="J39" s="20">
        <f>D8/2</f>
        <v>301.5</v>
      </c>
    </row>
    <row r="40">
      <c r="A40" s="17" t="s">
        <v>56</v>
      </c>
      <c r="B40" s="17">
        <v>10.0</v>
      </c>
      <c r="F40" s="17"/>
      <c r="G40" s="17"/>
      <c r="I40" s="15" t="s">
        <v>46</v>
      </c>
      <c r="J40" s="20">
        <f>D21/2</f>
        <v>0</v>
      </c>
    </row>
    <row r="41">
      <c r="A41" s="17" t="s">
        <v>53</v>
      </c>
      <c r="B41" s="21"/>
      <c r="F41" s="17"/>
      <c r="G41" s="17"/>
      <c r="I41" s="15" t="s">
        <v>47</v>
      </c>
      <c r="J41" s="20">
        <f>D28/2</f>
        <v>57.5</v>
      </c>
    </row>
    <row r="42">
      <c r="A42" s="17" t="s">
        <v>10</v>
      </c>
      <c r="B42" s="22">
        <f>sum(B36:B41)</f>
        <v>352.5</v>
      </c>
      <c r="F42" s="17" t="s">
        <v>10</v>
      </c>
      <c r="G42" s="18">
        <f>sum(G36:G41)</f>
        <v>616</v>
      </c>
      <c r="I42" s="15" t="s">
        <v>48</v>
      </c>
      <c r="J42" s="20">
        <f>sum(J38:J41)</f>
        <v>480</v>
      </c>
    </row>
    <row r="45">
      <c r="A45" s="2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2"/>
    </row>
    <row r="2">
      <c r="A2" s="1" t="s">
        <v>2</v>
      </c>
      <c r="B2" s="2" t="s">
        <v>3</v>
      </c>
      <c r="D2" s="3">
        <f>6+4+10+10+24+5</f>
        <v>59</v>
      </c>
      <c r="E2" s="3"/>
      <c r="G2" s="2"/>
      <c r="H2" s="2"/>
      <c r="I2" s="2"/>
      <c r="J2" s="2"/>
      <c r="K2" s="2"/>
    </row>
    <row r="3">
      <c r="A3" s="13"/>
      <c r="B3" s="3" t="s">
        <v>4</v>
      </c>
      <c r="C3" s="13"/>
      <c r="D3" s="3"/>
      <c r="E3" s="3"/>
      <c r="F3" s="13"/>
      <c r="G3" s="3"/>
      <c r="H3" s="13"/>
      <c r="I3" s="3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7.75" customHeight="1">
      <c r="B4" s="2" t="s">
        <v>5</v>
      </c>
      <c r="C4" s="2"/>
      <c r="D4" s="2">
        <v>47.0</v>
      </c>
      <c r="E4" s="2"/>
      <c r="G4" s="2"/>
      <c r="H4" s="2"/>
      <c r="I4" s="2"/>
      <c r="J4" s="2"/>
      <c r="K4" s="2"/>
    </row>
    <row r="5" ht="27.75" customHeight="1">
      <c r="B5" s="2" t="s">
        <v>6</v>
      </c>
      <c r="C5" s="2">
        <f>5</f>
        <v>5</v>
      </c>
      <c r="D5" s="4">
        <f>105+127+94+110+105</f>
        <v>541</v>
      </c>
      <c r="E5" s="4"/>
      <c r="G5" s="2"/>
      <c r="H5" s="2"/>
      <c r="I5" s="3"/>
      <c r="J5" s="2"/>
      <c r="K5" s="2"/>
    </row>
    <row r="6">
      <c r="A6" s="1" t="s">
        <v>7</v>
      </c>
      <c r="B6" s="2" t="s">
        <v>8</v>
      </c>
      <c r="D6" s="4"/>
      <c r="E6" s="4"/>
      <c r="G6" s="2"/>
      <c r="H6" s="2"/>
      <c r="I6" s="2"/>
      <c r="J6" s="2"/>
      <c r="K6" s="2"/>
    </row>
    <row r="7">
      <c r="B7" s="2" t="s">
        <v>9</v>
      </c>
      <c r="C7" s="2"/>
      <c r="D7" s="4"/>
      <c r="E7" s="4"/>
      <c r="G7" s="2"/>
      <c r="H7" s="2"/>
      <c r="I7" s="2"/>
      <c r="J7" s="2"/>
      <c r="K7" s="2"/>
    </row>
    <row r="8">
      <c r="B8" s="6"/>
      <c r="C8" s="5">
        <f t="shared" ref="C8:D8" si="1">SUM(C2:C7)</f>
        <v>5</v>
      </c>
      <c r="D8" s="5">
        <f t="shared" si="1"/>
        <v>647</v>
      </c>
      <c r="E8" s="5"/>
      <c r="F8" s="2"/>
      <c r="G8" s="2"/>
      <c r="H8" s="2"/>
      <c r="J8" s="2"/>
      <c r="K8" s="2"/>
    </row>
    <row r="9">
      <c r="B9" s="2" t="s">
        <v>11</v>
      </c>
      <c r="D9" s="2">
        <v>26.0</v>
      </c>
      <c r="E9" s="2"/>
      <c r="G9" s="2"/>
      <c r="H9" s="2"/>
      <c r="J9" s="2"/>
      <c r="K9" s="2"/>
    </row>
    <row r="10">
      <c r="B10" s="2" t="s">
        <v>12</v>
      </c>
      <c r="E10" s="2"/>
      <c r="F10" s="7"/>
      <c r="G10" s="2"/>
      <c r="H10" s="2"/>
      <c r="J10" s="2"/>
      <c r="K10" s="2"/>
    </row>
    <row r="11">
      <c r="B11" s="2" t="s">
        <v>13</v>
      </c>
      <c r="E11" s="2"/>
      <c r="G11" s="2"/>
      <c r="H11" s="2"/>
      <c r="I11" s="2"/>
      <c r="J11" s="2"/>
      <c r="K11" s="2"/>
    </row>
    <row r="12">
      <c r="B12" s="2" t="s">
        <v>14</v>
      </c>
      <c r="D12" s="2">
        <v>216.0</v>
      </c>
      <c r="E12" s="2"/>
    </row>
    <row r="13">
      <c r="B13" s="2" t="s">
        <v>15</v>
      </c>
      <c r="C13" s="2">
        <v>17.0</v>
      </c>
      <c r="E13" s="2"/>
      <c r="H13" s="2"/>
      <c r="J13" s="8"/>
    </row>
    <row r="14">
      <c r="B14" s="2" t="s">
        <v>16</v>
      </c>
      <c r="C14" s="2"/>
      <c r="E14" s="2"/>
      <c r="H14" s="2"/>
      <c r="I14" s="2"/>
    </row>
    <row r="15">
      <c r="B15" s="2" t="s">
        <v>17</v>
      </c>
      <c r="E15" s="2"/>
      <c r="H15" s="2"/>
      <c r="I15" s="2"/>
    </row>
    <row r="16">
      <c r="B16" s="2" t="s">
        <v>18</v>
      </c>
      <c r="C16" s="2"/>
      <c r="D16" s="2"/>
      <c r="E16" s="2"/>
      <c r="H16" s="2"/>
      <c r="I16" s="2"/>
    </row>
    <row r="17">
      <c r="A17" s="1" t="s">
        <v>19</v>
      </c>
      <c r="B17" s="2" t="s">
        <v>20</v>
      </c>
      <c r="D17" s="2"/>
      <c r="E17" s="2"/>
      <c r="H17" s="2"/>
      <c r="I17" s="2"/>
    </row>
    <row r="18">
      <c r="A18" s="5" t="s">
        <v>10</v>
      </c>
      <c r="B18" s="6"/>
      <c r="C18" s="5">
        <f t="shared" ref="C18:D18" si="2">SUM(C9:C16)</f>
        <v>17</v>
      </c>
      <c r="D18" s="5">
        <f t="shared" si="2"/>
        <v>242</v>
      </c>
      <c r="E18" s="5"/>
      <c r="H18" s="2"/>
      <c r="I18" s="2"/>
    </row>
    <row r="19">
      <c r="B19" s="2" t="s">
        <v>21</v>
      </c>
      <c r="C19" s="2">
        <f>14</f>
        <v>14</v>
      </c>
      <c r="D19" s="2"/>
      <c r="E19" s="2"/>
      <c r="F19" s="2"/>
      <c r="H19" s="2"/>
      <c r="I19" s="2"/>
    </row>
    <row r="20">
      <c r="B20" s="2" t="s">
        <v>22</v>
      </c>
      <c r="C20">
        <f>10</f>
        <v>10</v>
      </c>
      <c r="D20" s="2"/>
      <c r="H20" s="2"/>
      <c r="I20" s="2"/>
    </row>
    <row r="21">
      <c r="A21" s="5" t="s">
        <v>10</v>
      </c>
      <c r="B21" s="5"/>
      <c r="C21" s="5">
        <f t="shared" ref="C21:D21" si="3">SUM(C19:C20)</f>
        <v>24</v>
      </c>
      <c r="D21" s="5">
        <f t="shared" si="3"/>
        <v>0</v>
      </c>
      <c r="E21" s="6"/>
    </row>
    <row r="22">
      <c r="A22" s="1" t="s">
        <v>23</v>
      </c>
      <c r="B22" s="2" t="s">
        <v>24</v>
      </c>
      <c r="C22" s="2">
        <f>9</f>
        <v>9</v>
      </c>
      <c r="D22" s="2"/>
    </row>
    <row r="23">
      <c r="B23" s="2" t="s">
        <v>25</v>
      </c>
      <c r="C23" s="2">
        <f>6+100</f>
        <v>106</v>
      </c>
      <c r="D23" s="2"/>
    </row>
    <row r="24">
      <c r="B24" s="2" t="s">
        <v>26</v>
      </c>
      <c r="D24" s="2"/>
    </row>
    <row r="25">
      <c r="B25" s="2" t="s">
        <v>27</v>
      </c>
      <c r="C25" s="2"/>
      <c r="D25" s="2">
        <f>30+20+18+26</f>
        <v>94</v>
      </c>
    </row>
    <row r="26">
      <c r="B26" s="2" t="s">
        <v>28</v>
      </c>
      <c r="C26" s="2"/>
      <c r="D26" s="2"/>
    </row>
    <row r="27">
      <c r="B27" s="2" t="s">
        <v>29</v>
      </c>
      <c r="C27" s="9"/>
      <c r="D27" s="10"/>
      <c r="E27" s="10"/>
    </row>
    <row r="28">
      <c r="A28" s="5" t="s">
        <v>10</v>
      </c>
      <c r="B28" s="5"/>
      <c r="C28" s="5">
        <f t="shared" ref="C28:D28" si="4">sum(C22:C27)</f>
        <v>115</v>
      </c>
      <c r="D28" s="5">
        <f t="shared" si="4"/>
        <v>94</v>
      </c>
      <c r="E28" s="6"/>
      <c r="H28" s="2" t="s">
        <v>30</v>
      </c>
    </row>
    <row r="29">
      <c r="A29" s="11" t="s">
        <v>10</v>
      </c>
    </row>
    <row r="30">
      <c r="A30" s="11" t="s">
        <v>31</v>
      </c>
      <c r="B30" s="12"/>
      <c r="C30" s="12"/>
      <c r="D30">
        <f>C8+C18+C21+C28</f>
        <v>161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1" t="s">
        <v>32</v>
      </c>
      <c r="B31" s="13"/>
      <c r="C31" s="13"/>
      <c r="D31" s="3">
        <f>D8+D18+D21+D28</f>
        <v>983</v>
      </c>
      <c r="E31" s="3"/>
    </row>
    <row r="32">
      <c r="A32" s="11" t="s">
        <v>33</v>
      </c>
      <c r="B32" s="13"/>
      <c r="C32" s="13"/>
      <c r="D32" s="4">
        <f>(D31-D30)/2</f>
        <v>411</v>
      </c>
      <c r="E32" s="13"/>
    </row>
    <row r="33">
      <c r="A33" s="14"/>
    </row>
    <row r="34">
      <c r="A34" s="2" t="s">
        <v>34</v>
      </c>
    </row>
    <row r="35">
      <c r="A35" s="1" t="s">
        <v>35</v>
      </c>
      <c r="B35" s="1" t="s">
        <v>36</v>
      </c>
      <c r="F35" s="1" t="s">
        <v>37</v>
      </c>
      <c r="G35" s="1" t="s">
        <v>36</v>
      </c>
      <c r="I35" s="15" t="s">
        <v>38</v>
      </c>
      <c r="J35" s="16">
        <f>B42-G42</f>
        <v>-338</v>
      </c>
    </row>
    <row r="36">
      <c r="A36" s="17" t="s">
        <v>39</v>
      </c>
      <c r="B36" s="18">
        <f>D32</f>
        <v>411</v>
      </c>
      <c r="F36" s="17" t="s">
        <v>40</v>
      </c>
      <c r="G36" s="16">
        <v>600.0</v>
      </c>
    </row>
    <row r="37">
      <c r="A37" s="17" t="s">
        <v>41</v>
      </c>
      <c r="B37" s="17">
        <v>-264.0</v>
      </c>
      <c r="F37" s="19"/>
      <c r="G37" s="17"/>
      <c r="I37" s="3" t="s">
        <v>42</v>
      </c>
    </row>
    <row r="38">
      <c r="A38" s="17" t="s">
        <v>43</v>
      </c>
      <c r="B38" s="17">
        <v>115.0</v>
      </c>
      <c r="D38" s="2"/>
      <c r="E38" s="2"/>
      <c r="F38" s="17"/>
      <c r="G38" s="16">
        <v>0.0</v>
      </c>
      <c r="H38" s="2"/>
      <c r="I38" s="15" t="s">
        <v>44</v>
      </c>
      <c r="J38" s="20">
        <f>D18/2</f>
        <v>121</v>
      </c>
    </row>
    <row r="39">
      <c r="A39" s="17" t="s">
        <v>55</v>
      </c>
      <c r="B39" s="17"/>
      <c r="F39" s="17"/>
      <c r="G39" s="16"/>
      <c r="I39" s="15" t="s">
        <v>45</v>
      </c>
      <c r="J39" s="20">
        <f>D8/2</f>
        <v>323.5</v>
      </c>
    </row>
    <row r="40">
      <c r="A40" s="17" t="s">
        <v>56</v>
      </c>
      <c r="B40" s="17"/>
      <c r="F40" s="17"/>
      <c r="G40" s="17"/>
      <c r="I40" s="15" t="s">
        <v>46</v>
      </c>
      <c r="J40" s="20">
        <f>D21/2</f>
        <v>0</v>
      </c>
    </row>
    <row r="41">
      <c r="A41" s="17" t="s">
        <v>53</v>
      </c>
      <c r="B41" s="21"/>
      <c r="F41" s="17"/>
      <c r="G41" s="17"/>
      <c r="I41" s="15" t="s">
        <v>47</v>
      </c>
      <c r="J41" s="20">
        <f>D28/2</f>
        <v>47</v>
      </c>
    </row>
    <row r="42">
      <c r="A42" s="17" t="s">
        <v>10</v>
      </c>
      <c r="B42" s="22">
        <f>sum(B36:B41)</f>
        <v>262</v>
      </c>
      <c r="F42" s="17" t="s">
        <v>10</v>
      </c>
      <c r="G42" s="18">
        <f>sum(G36:G41)</f>
        <v>600</v>
      </c>
      <c r="I42" s="15" t="s">
        <v>48</v>
      </c>
      <c r="J42" s="20">
        <f>sum(J38:J41)</f>
        <v>491.5</v>
      </c>
    </row>
    <row r="45">
      <c r="A45" s="2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2"/>
    </row>
    <row r="2">
      <c r="A2" s="1" t="s">
        <v>2</v>
      </c>
      <c r="B2" s="2" t="s">
        <v>3</v>
      </c>
      <c r="C2">
        <f>18</f>
        <v>18</v>
      </c>
      <c r="D2" s="3">
        <f>13+10+9+3+5+5</f>
        <v>45</v>
      </c>
      <c r="E2" s="3"/>
      <c r="G2" s="2"/>
      <c r="H2" s="2"/>
      <c r="I2" s="2"/>
      <c r="J2" s="2"/>
      <c r="K2" s="2"/>
    </row>
    <row r="3">
      <c r="A3" s="13"/>
      <c r="B3" s="3" t="s">
        <v>4</v>
      </c>
      <c r="C3" s="13"/>
      <c r="D3" s="3"/>
      <c r="E3" s="3"/>
      <c r="F3" s="13"/>
      <c r="G3" s="3"/>
      <c r="H3" s="13"/>
      <c r="I3" s="3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4.75" customHeight="1">
      <c r="B4" s="2" t="s">
        <v>5</v>
      </c>
      <c r="C4" s="2"/>
      <c r="D4" s="2">
        <v>90.0</v>
      </c>
      <c r="E4" s="2"/>
      <c r="G4" s="2"/>
      <c r="H4" s="2"/>
      <c r="I4" s="2"/>
      <c r="J4" s="2"/>
      <c r="K4" s="2"/>
    </row>
    <row r="5">
      <c r="B5" s="2" t="s">
        <v>6</v>
      </c>
      <c r="C5" s="2">
        <f>78</f>
        <v>78</v>
      </c>
      <c r="D5" s="4">
        <f>159+122+78+98</f>
        <v>457</v>
      </c>
      <c r="E5" s="4"/>
      <c r="G5" s="2"/>
      <c r="H5" s="2"/>
      <c r="I5" s="3"/>
      <c r="J5" s="2"/>
      <c r="K5" s="2"/>
    </row>
    <row r="6">
      <c r="A6" s="1" t="s">
        <v>7</v>
      </c>
      <c r="B6" s="2" t="s">
        <v>8</v>
      </c>
      <c r="D6" s="4"/>
      <c r="E6" s="4"/>
      <c r="G6" s="2"/>
      <c r="H6" s="2"/>
      <c r="I6" s="2"/>
      <c r="J6" s="2"/>
      <c r="K6" s="2"/>
    </row>
    <row r="7">
      <c r="B7" s="2" t="s">
        <v>9</v>
      </c>
      <c r="C7" s="2"/>
      <c r="D7" s="4"/>
      <c r="E7" s="4"/>
      <c r="G7" s="2"/>
      <c r="H7" s="2"/>
      <c r="I7" s="2"/>
      <c r="J7" s="2"/>
      <c r="K7" s="2"/>
    </row>
    <row r="8">
      <c r="B8" s="6"/>
      <c r="C8" s="5">
        <f t="shared" ref="C8:D8" si="1">SUM(C2:C7)</f>
        <v>96</v>
      </c>
      <c r="D8" s="5">
        <f t="shared" si="1"/>
        <v>592</v>
      </c>
      <c r="E8" s="5"/>
      <c r="F8" s="2"/>
      <c r="G8" s="2"/>
      <c r="H8" s="2"/>
      <c r="J8" s="2"/>
      <c r="K8" s="2"/>
    </row>
    <row r="9">
      <c r="B9" s="2" t="s">
        <v>11</v>
      </c>
      <c r="D9" s="2">
        <f>26+398</f>
        <v>424</v>
      </c>
      <c r="E9" s="2"/>
      <c r="G9" s="2"/>
      <c r="H9" s="2"/>
      <c r="J9" s="2"/>
      <c r="K9" s="2"/>
    </row>
    <row r="10">
      <c r="B10" s="2" t="s">
        <v>12</v>
      </c>
      <c r="E10" s="2"/>
      <c r="F10" s="7"/>
      <c r="G10" s="2"/>
      <c r="H10" s="2"/>
      <c r="J10" s="2"/>
      <c r="K10" s="2"/>
    </row>
    <row r="11">
      <c r="B11" s="2" t="s">
        <v>13</v>
      </c>
      <c r="E11" s="2"/>
      <c r="G11" s="2"/>
      <c r="H11" s="2"/>
      <c r="I11" s="2"/>
      <c r="J11" s="2"/>
      <c r="K11" s="2"/>
    </row>
    <row r="12">
      <c r="B12" s="2" t="s">
        <v>14</v>
      </c>
      <c r="D12" s="2">
        <v>216.0</v>
      </c>
      <c r="E12" s="2"/>
    </row>
    <row r="13">
      <c r="B13" s="2" t="s">
        <v>15</v>
      </c>
      <c r="C13" s="2">
        <v>5.0</v>
      </c>
      <c r="E13" s="2"/>
      <c r="H13" s="2"/>
      <c r="J13" s="8"/>
    </row>
    <row r="14">
      <c r="B14" s="2" t="s">
        <v>16</v>
      </c>
      <c r="C14" s="2"/>
      <c r="E14" s="2"/>
      <c r="H14" s="2"/>
      <c r="I14" s="2"/>
    </row>
    <row r="15">
      <c r="B15" s="2" t="s">
        <v>17</v>
      </c>
      <c r="E15" s="2"/>
      <c r="H15" s="2"/>
      <c r="I15" s="2"/>
    </row>
    <row r="16">
      <c r="B16" s="2"/>
      <c r="D16" s="2"/>
      <c r="E16" s="2"/>
      <c r="H16" s="2"/>
      <c r="I16" s="2"/>
    </row>
    <row r="17">
      <c r="A17" s="1" t="s">
        <v>19</v>
      </c>
      <c r="B17" s="2" t="s">
        <v>20</v>
      </c>
      <c r="D17" s="2"/>
      <c r="E17" s="2"/>
      <c r="H17" s="2"/>
      <c r="I17" s="2"/>
      <c r="J17" s="2">
        <v>1468.0</v>
      </c>
    </row>
    <row r="18">
      <c r="A18" s="5" t="s">
        <v>10</v>
      </c>
      <c r="B18" s="6"/>
      <c r="C18" s="5">
        <f t="shared" ref="C18:D18" si="2">SUM(C9:C16)</f>
        <v>5</v>
      </c>
      <c r="D18" s="5">
        <f t="shared" si="2"/>
        <v>640</v>
      </c>
      <c r="E18" s="5"/>
      <c r="H18" s="2"/>
      <c r="I18" s="2"/>
      <c r="J18" s="2">
        <v>768.0</v>
      </c>
    </row>
    <row r="19">
      <c r="B19" s="2" t="s">
        <v>21</v>
      </c>
      <c r="C19" s="2">
        <f>30+768+6</f>
        <v>804</v>
      </c>
      <c r="D19" s="2">
        <f>21+20+1468+14+130</f>
        <v>1653</v>
      </c>
      <c r="E19" s="2"/>
      <c r="F19" s="2"/>
      <c r="H19" s="2"/>
      <c r="I19" s="2"/>
      <c r="J19">
        <f>J18+J17</f>
        <v>2236</v>
      </c>
    </row>
    <row r="20">
      <c r="B20" s="2" t="s">
        <v>22</v>
      </c>
      <c r="D20" s="2"/>
      <c r="H20" s="2"/>
      <c r="I20" s="2"/>
      <c r="J20">
        <f>J19/2</f>
        <v>1118</v>
      </c>
    </row>
    <row r="21">
      <c r="A21" s="5" t="s">
        <v>10</v>
      </c>
      <c r="B21" s="5"/>
      <c r="C21" s="5">
        <f t="shared" ref="C21:D21" si="3">SUM(C19:C20)</f>
        <v>804</v>
      </c>
      <c r="D21" s="5">
        <f t="shared" si="3"/>
        <v>1653</v>
      </c>
      <c r="E21" s="6"/>
      <c r="J21">
        <f>J20-J18</f>
        <v>350</v>
      </c>
    </row>
    <row r="22">
      <c r="A22" s="1" t="s">
        <v>23</v>
      </c>
      <c r="B22" s="2" t="s">
        <v>24</v>
      </c>
      <c r="C22" s="2"/>
      <c r="D22" s="2"/>
    </row>
    <row r="23">
      <c r="B23" s="2" t="s">
        <v>25</v>
      </c>
      <c r="C23" s="2"/>
      <c r="D23" s="2"/>
    </row>
    <row r="24">
      <c r="B24" s="2" t="s">
        <v>26</v>
      </c>
      <c r="D24" s="2"/>
    </row>
    <row r="25">
      <c r="B25" s="2" t="s">
        <v>27</v>
      </c>
      <c r="C25" s="2"/>
      <c r="D25" s="2"/>
    </row>
    <row r="26">
      <c r="B26" s="2" t="s">
        <v>28</v>
      </c>
      <c r="C26" s="2">
        <v>44.0</v>
      </c>
      <c r="D26" s="2">
        <v>15.0</v>
      </c>
    </row>
    <row r="27">
      <c r="B27" s="2" t="s">
        <v>29</v>
      </c>
      <c r="C27" s="9"/>
      <c r="D27" s="10"/>
      <c r="E27" s="10"/>
    </row>
    <row r="28">
      <c r="A28" s="5" t="s">
        <v>10</v>
      </c>
      <c r="B28" s="5"/>
      <c r="C28" s="5">
        <f t="shared" ref="C28:D28" si="4">sum(C22:C27)</f>
        <v>44</v>
      </c>
      <c r="D28" s="5">
        <f t="shared" si="4"/>
        <v>15</v>
      </c>
      <c r="E28" s="6"/>
      <c r="H28" s="2" t="s">
        <v>30</v>
      </c>
    </row>
    <row r="29">
      <c r="A29" s="11" t="s">
        <v>10</v>
      </c>
    </row>
    <row r="30">
      <c r="A30" s="11" t="s">
        <v>31</v>
      </c>
      <c r="B30" s="12"/>
      <c r="C30" s="12"/>
      <c r="D30">
        <f>C8+C18+C21+C28</f>
        <v>949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1" t="s">
        <v>32</v>
      </c>
      <c r="B31" s="13"/>
      <c r="C31" s="13"/>
      <c r="D31" s="3">
        <f>D8+D18+D21+D28</f>
        <v>2900</v>
      </c>
      <c r="E31" s="3"/>
    </row>
    <row r="32">
      <c r="A32" s="11" t="s">
        <v>33</v>
      </c>
      <c r="B32" s="13"/>
      <c r="C32" s="13"/>
      <c r="D32" s="4">
        <f>(D31-D30)/2</f>
        <v>975.5</v>
      </c>
      <c r="E32" s="13"/>
    </row>
    <row r="33">
      <c r="A33" s="14"/>
    </row>
    <row r="34">
      <c r="A34" s="2" t="s">
        <v>34</v>
      </c>
    </row>
    <row r="35">
      <c r="A35" s="1" t="s">
        <v>35</v>
      </c>
      <c r="B35" s="1" t="s">
        <v>36</v>
      </c>
      <c r="F35" s="1" t="s">
        <v>37</v>
      </c>
      <c r="G35" s="1" t="s">
        <v>36</v>
      </c>
      <c r="I35" s="15" t="s">
        <v>38</v>
      </c>
      <c r="J35" s="16">
        <f>B42-G42</f>
        <v>-786.5</v>
      </c>
    </row>
    <row r="36">
      <c r="A36" s="17" t="s">
        <v>39</v>
      </c>
      <c r="B36" s="18">
        <f>D32</f>
        <v>975.5</v>
      </c>
      <c r="F36" s="17" t="s">
        <v>40</v>
      </c>
      <c r="G36" s="16">
        <f>400+1200</f>
        <v>1600</v>
      </c>
    </row>
    <row r="37">
      <c r="A37" s="17" t="s">
        <v>41</v>
      </c>
      <c r="B37" s="17">
        <v>-338.0</v>
      </c>
      <c r="F37" s="19"/>
      <c r="G37" s="17">
        <v>25.0</v>
      </c>
      <c r="I37" s="3" t="s">
        <v>42</v>
      </c>
    </row>
    <row r="38">
      <c r="A38" s="17" t="s">
        <v>43</v>
      </c>
      <c r="B38" s="17">
        <v>115.0</v>
      </c>
      <c r="D38" s="2"/>
      <c r="E38" s="2"/>
      <c r="F38" s="17"/>
      <c r="G38" s="16">
        <v>0.0</v>
      </c>
      <c r="H38" s="2"/>
      <c r="I38" s="15" t="s">
        <v>44</v>
      </c>
      <c r="J38" s="20">
        <f>D18/2</f>
        <v>320</v>
      </c>
    </row>
    <row r="39">
      <c r="A39" s="17" t="s">
        <v>57</v>
      </c>
      <c r="B39" s="17">
        <v>48.0</v>
      </c>
      <c r="F39" s="17"/>
      <c r="G39" s="16"/>
      <c r="I39" s="15" t="s">
        <v>45</v>
      </c>
      <c r="J39" s="20">
        <f>D8/2</f>
        <v>296</v>
      </c>
    </row>
    <row r="40">
      <c r="A40" s="17" t="s">
        <v>58</v>
      </c>
      <c r="B40" s="17">
        <v>38.0</v>
      </c>
      <c r="F40" s="17"/>
      <c r="G40" s="17"/>
      <c r="I40" s="15" t="s">
        <v>46</v>
      </c>
      <c r="J40" s="20">
        <f>D21/2</f>
        <v>826.5</v>
      </c>
    </row>
    <row r="41">
      <c r="A41" s="17" t="s">
        <v>53</v>
      </c>
      <c r="B41" s="21"/>
      <c r="F41" s="17"/>
      <c r="G41" s="17"/>
      <c r="I41" s="15" t="s">
        <v>47</v>
      </c>
      <c r="J41" s="20">
        <f>D28/2</f>
        <v>7.5</v>
      </c>
    </row>
    <row r="42">
      <c r="A42" s="17" t="s">
        <v>10</v>
      </c>
      <c r="B42" s="22">
        <f>sum(B36:B41)</f>
        <v>838.5</v>
      </c>
      <c r="F42" s="17" t="s">
        <v>10</v>
      </c>
      <c r="G42" s="18">
        <f>sum(G36:G41)</f>
        <v>1625</v>
      </c>
      <c r="I42" s="15" t="s">
        <v>48</v>
      </c>
      <c r="J42" s="20">
        <f>sum(J38:J41)</f>
        <v>1450</v>
      </c>
    </row>
    <row r="45">
      <c r="A45" s="2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2"/>
    </row>
    <row r="2">
      <c r="A2" s="1" t="s">
        <v>2</v>
      </c>
      <c r="B2" s="2" t="s">
        <v>3</v>
      </c>
      <c r="D2" s="3">
        <f>1+6+5+9+5+5+8+1</f>
        <v>40</v>
      </c>
      <c r="E2" s="3"/>
      <c r="G2" s="2"/>
      <c r="H2" s="2"/>
      <c r="I2" s="2"/>
      <c r="J2" s="2"/>
      <c r="K2" s="2"/>
    </row>
    <row r="3">
      <c r="A3" s="13"/>
      <c r="B3" s="3" t="s">
        <v>4</v>
      </c>
      <c r="C3" s="13"/>
      <c r="D3" s="3"/>
      <c r="E3" s="3"/>
      <c r="F3" s="13"/>
      <c r="G3" s="3"/>
      <c r="H3" s="13"/>
      <c r="I3" s="3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4.75" customHeight="1">
      <c r="B4" s="2" t="s">
        <v>5</v>
      </c>
      <c r="C4" s="2"/>
      <c r="D4" s="2">
        <v>58.0</v>
      </c>
      <c r="E4" s="2"/>
      <c r="G4" s="2"/>
      <c r="H4" s="2"/>
      <c r="I4" s="2"/>
      <c r="J4" s="2"/>
      <c r="K4" s="2"/>
    </row>
    <row r="5">
      <c r="B5" s="2" t="s">
        <v>6</v>
      </c>
      <c r="C5" s="2"/>
      <c r="D5" s="4">
        <f>104+125+93+112</f>
        <v>434</v>
      </c>
      <c r="E5" s="4"/>
      <c r="G5" s="2"/>
      <c r="H5" s="2"/>
      <c r="I5" s="3"/>
      <c r="J5" s="2"/>
      <c r="K5" s="2"/>
    </row>
    <row r="6">
      <c r="A6" s="1" t="s">
        <v>7</v>
      </c>
      <c r="B6" s="2" t="s">
        <v>8</v>
      </c>
      <c r="D6" s="4"/>
      <c r="E6" s="4"/>
      <c r="G6" s="2"/>
      <c r="H6" s="2"/>
      <c r="I6" s="2"/>
      <c r="J6" s="2"/>
      <c r="K6" s="2"/>
    </row>
    <row r="7">
      <c r="B7" s="2" t="s">
        <v>9</v>
      </c>
      <c r="C7" s="2"/>
      <c r="D7" s="4"/>
      <c r="E7" s="4"/>
      <c r="G7" s="2"/>
      <c r="H7" s="2"/>
      <c r="I7" s="2"/>
      <c r="J7" s="2"/>
      <c r="K7" s="2"/>
    </row>
    <row r="8">
      <c r="B8" s="6"/>
      <c r="C8" s="5">
        <f t="shared" ref="C8:D8" si="1">SUM(C2:C7)</f>
        <v>0</v>
      </c>
      <c r="D8" s="5">
        <f t="shared" si="1"/>
        <v>532</v>
      </c>
      <c r="E8" s="5"/>
      <c r="F8" s="2"/>
      <c r="G8" s="2"/>
      <c r="H8" s="2"/>
      <c r="J8" s="2"/>
      <c r="K8" s="2"/>
    </row>
    <row r="9">
      <c r="B9" s="2" t="s">
        <v>11</v>
      </c>
      <c r="D9" s="2">
        <v>26.0</v>
      </c>
      <c r="E9" s="2"/>
      <c r="G9" s="2"/>
      <c r="H9" s="2"/>
      <c r="J9" s="2"/>
      <c r="K9" s="2"/>
    </row>
    <row r="10">
      <c r="B10" s="2" t="s">
        <v>12</v>
      </c>
      <c r="E10" s="2"/>
      <c r="F10" s="7"/>
      <c r="G10" s="2"/>
      <c r="H10" s="2"/>
      <c r="J10" s="2"/>
      <c r="K10" s="2"/>
    </row>
    <row r="11">
      <c r="B11" s="2" t="s">
        <v>13</v>
      </c>
      <c r="E11" s="2"/>
      <c r="G11" s="2"/>
      <c r="H11" s="2"/>
      <c r="I11" s="2"/>
      <c r="J11" s="2"/>
      <c r="K11" s="2"/>
    </row>
    <row r="12">
      <c r="B12" s="2" t="s">
        <v>14</v>
      </c>
      <c r="D12" s="2">
        <v>216.0</v>
      </c>
      <c r="E12" s="2"/>
    </row>
    <row r="13">
      <c r="B13" s="2" t="s">
        <v>15</v>
      </c>
      <c r="C13" s="2">
        <v>27.0</v>
      </c>
      <c r="E13" s="2"/>
      <c r="H13" s="2"/>
      <c r="J13" s="2" t="s">
        <v>59</v>
      </c>
      <c r="K13" s="2">
        <v>1120.86</v>
      </c>
    </row>
    <row r="14">
      <c r="B14" s="2" t="s">
        <v>16</v>
      </c>
      <c r="C14" s="2"/>
      <c r="E14" s="2"/>
      <c r="H14" s="2"/>
      <c r="I14" s="2"/>
      <c r="J14" s="2" t="s">
        <v>60</v>
      </c>
      <c r="K14" s="2">
        <v>624.36</v>
      </c>
    </row>
    <row r="15">
      <c r="B15" s="2" t="s">
        <v>17</v>
      </c>
      <c r="E15" s="2"/>
      <c r="H15" s="2"/>
      <c r="I15" s="2"/>
      <c r="J15" s="23" t="s">
        <v>61</v>
      </c>
      <c r="K15">
        <f>K14+K13</f>
        <v>1745.22</v>
      </c>
    </row>
    <row r="16">
      <c r="B16" s="2"/>
      <c r="D16" s="2"/>
      <c r="E16" s="2"/>
      <c r="H16" s="2"/>
      <c r="I16" s="2"/>
      <c r="K16">
        <f>K15/2</f>
        <v>872.61</v>
      </c>
      <c r="L16">
        <f>K16-K14</f>
        <v>248.25</v>
      </c>
    </row>
    <row r="17">
      <c r="A17" s="5" t="s">
        <v>10</v>
      </c>
      <c r="B17" s="6"/>
      <c r="C17" s="5">
        <f t="shared" ref="C17:D17" si="2">SUM(C9:C16)</f>
        <v>27</v>
      </c>
      <c r="D17" s="5">
        <f t="shared" si="2"/>
        <v>242</v>
      </c>
      <c r="E17" s="5"/>
      <c r="H17" s="2"/>
      <c r="I17" s="2"/>
      <c r="J17" s="2">
        <v>768.0</v>
      </c>
      <c r="K17" s="2" t="s">
        <v>62</v>
      </c>
      <c r="L17" s="2" t="s">
        <v>63</v>
      </c>
    </row>
    <row r="18">
      <c r="A18" s="1" t="s">
        <v>19</v>
      </c>
      <c r="B18" s="2" t="s">
        <v>20</v>
      </c>
      <c r="C18">
        <f>107</f>
        <v>107</v>
      </c>
      <c r="D18" s="2"/>
      <c r="E18" s="2"/>
      <c r="H18" s="2"/>
      <c r="I18" s="2"/>
      <c r="J18" s="2">
        <v>1468.0</v>
      </c>
    </row>
    <row r="19">
      <c r="B19" s="2" t="s">
        <v>21</v>
      </c>
      <c r="C19" s="2"/>
      <c r="D19" s="2">
        <v>30.0</v>
      </c>
      <c r="E19" s="2"/>
      <c r="F19" s="2"/>
      <c r="H19" s="2"/>
      <c r="I19" s="2"/>
      <c r="J19">
        <f>J17+J18</f>
        <v>2236</v>
      </c>
    </row>
    <row r="20">
      <c r="B20" s="2" t="s">
        <v>22</v>
      </c>
      <c r="D20" s="2"/>
      <c r="H20" s="2"/>
      <c r="I20" s="2"/>
      <c r="J20">
        <f>J19/2</f>
        <v>1118</v>
      </c>
    </row>
    <row r="21">
      <c r="A21" s="5" t="s">
        <v>10</v>
      </c>
      <c r="B21" s="5"/>
      <c r="C21" s="5">
        <f t="shared" ref="C21:D21" si="3">SUM(C18:C20)</f>
        <v>107</v>
      </c>
      <c r="D21" s="5">
        <f t="shared" si="3"/>
        <v>30</v>
      </c>
      <c r="E21" s="6"/>
      <c r="J21">
        <f>J20-J17</f>
        <v>350</v>
      </c>
    </row>
    <row r="22">
      <c r="A22" s="1" t="s">
        <v>23</v>
      </c>
      <c r="B22" s="2" t="s">
        <v>24</v>
      </c>
      <c r="C22" s="2"/>
      <c r="D22" s="2">
        <v>7.0</v>
      </c>
    </row>
    <row r="23">
      <c r="B23" s="2" t="s">
        <v>25</v>
      </c>
      <c r="C23" s="2"/>
      <c r="D23" s="2">
        <v>32.0</v>
      </c>
    </row>
    <row r="24">
      <c r="B24" s="2" t="s">
        <v>26</v>
      </c>
      <c r="D24" s="2"/>
    </row>
    <row r="25">
      <c r="B25" s="2" t="s">
        <v>27</v>
      </c>
      <c r="C25" s="2"/>
      <c r="D25" s="2"/>
    </row>
    <row r="26">
      <c r="B26" s="2" t="s">
        <v>28</v>
      </c>
      <c r="C26" s="2">
        <f>180+38</f>
        <v>218</v>
      </c>
      <c r="D26" s="2"/>
    </row>
    <row r="27">
      <c r="B27" s="2" t="s">
        <v>29</v>
      </c>
      <c r="C27" s="9"/>
      <c r="D27" s="10"/>
      <c r="E27" s="10"/>
    </row>
    <row r="28">
      <c r="A28" s="5" t="s">
        <v>10</v>
      </c>
      <c r="B28" s="5"/>
      <c r="C28" s="5">
        <f t="shared" ref="C28:D28" si="4">sum(C22:C27)</f>
        <v>218</v>
      </c>
      <c r="D28" s="5">
        <f t="shared" si="4"/>
        <v>39</v>
      </c>
      <c r="E28" s="6"/>
      <c r="H28" s="2" t="s">
        <v>30</v>
      </c>
    </row>
    <row r="29">
      <c r="A29" s="11" t="s">
        <v>10</v>
      </c>
    </row>
    <row r="30">
      <c r="A30" s="11" t="s">
        <v>31</v>
      </c>
      <c r="B30" s="12"/>
      <c r="C30" s="12"/>
      <c r="D30">
        <f>C8+C17+C21+C28</f>
        <v>352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1" t="s">
        <v>32</v>
      </c>
      <c r="B31" s="13"/>
      <c r="C31" s="13"/>
      <c r="D31" s="3">
        <f>D8+D17+D21+D28</f>
        <v>843</v>
      </c>
      <c r="E31" s="3"/>
    </row>
    <row r="32">
      <c r="A32" s="11" t="s">
        <v>33</v>
      </c>
      <c r="B32" s="13"/>
      <c r="C32" s="13"/>
      <c r="D32" s="4">
        <f>(D31-D30)/2</f>
        <v>245.5</v>
      </c>
      <c r="E32" s="13"/>
    </row>
    <row r="33">
      <c r="A33" s="14"/>
    </row>
    <row r="34">
      <c r="A34" s="2" t="s">
        <v>34</v>
      </c>
    </row>
    <row r="35">
      <c r="A35" s="1" t="s">
        <v>35</v>
      </c>
      <c r="B35" s="1" t="s">
        <v>36</v>
      </c>
      <c r="F35" s="1" t="s">
        <v>37</v>
      </c>
      <c r="G35" s="1" t="s">
        <v>36</v>
      </c>
      <c r="I35" s="15" t="s">
        <v>38</v>
      </c>
      <c r="J35" s="16">
        <f>B42-G42</f>
        <v>-430.5</v>
      </c>
    </row>
    <row r="36">
      <c r="A36" s="17" t="s">
        <v>39</v>
      </c>
      <c r="B36" s="18">
        <f>D32</f>
        <v>245.5</v>
      </c>
      <c r="F36" s="17" t="s">
        <v>40</v>
      </c>
      <c r="G36" s="16"/>
    </row>
    <row r="37">
      <c r="A37" s="17" t="s">
        <v>41</v>
      </c>
      <c r="B37" s="17">
        <v>-787.0</v>
      </c>
      <c r="F37" s="19" t="s">
        <v>64</v>
      </c>
      <c r="G37" s="17">
        <v>19.0</v>
      </c>
      <c r="I37" s="3" t="s">
        <v>42</v>
      </c>
    </row>
    <row r="38">
      <c r="A38" s="17" t="s">
        <v>43</v>
      </c>
      <c r="B38" s="17">
        <v>115.0</v>
      </c>
      <c r="D38" s="2"/>
      <c r="E38" s="2"/>
      <c r="F38" s="17"/>
      <c r="G38" s="16">
        <v>0.0</v>
      </c>
      <c r="H38" s="2"/>
      <c r="I38" s="15" t="s">
        <v>44</v>
      </c>
      <c r="J38" s="20">
        <f>D17/2</f>
        <v>121</v>
      </c>
    </row>
    <row r="39">
      <c r="A39" s="17" t="s">
        <v>24</v>
      </c>
      <c r="B39" s="17">
        <v>15.0</v>
      </c>
      <c r="F39" s="17"/>
      <c r="G39" s="16"/>
      <c r="I39" s="15" t="s">
        <v>45</v>
      </c>
      <c r="J39" s="20">
        <f>D8/2</f>
        <v>266</v>
      </c>
    </row>
    <row r="40">
      <c r="A40" s="17" t="s">
        <v>58</v>
      </c>
      <c r="B40" s="17"/>
      <c r="F40" s="17"/>
      <c r="G40" s="17"/>
      <c r="I40" s="15" t="s">
        <v>46</v>
      </c>
      <c r="J40" s="20">
        <f>D21/2</f>
        <v>15</v>
      </c>
    </row>
    <row r="41">
      <c r="A41" s="17" t="s">
        <v>53</v>
      </c>
      <c r="B41" s="21"/>
      <c r="F41" s="17"/>
      <c r="G41" s="17"/>
      <c r="I41" s="15" t="s">
        <v>47</v>
      </c>
      <c r="J41" s="20">
        <f>D28/2</f>
        <v>19.5</v>
      </c>
    </row>
    <row r="42">
      <c r="A42" s="17" t="s">
        <v>10</v>
      </c>
      <c r="B42" s="22">
        <f>sum(B36:B41)</f>
        <v>-411.5</v>
      </c>
      <c r="F42" s="17" t="s">
        <v>10</v>
      </c>
      <c r="G42" s="18">
        <f>sum(G36:G41)</f>
        <v>19</v>
      </c>
      <c r="I42" s="15" t="s">
        <v>48</v>
      </c>
      <c r="J42" s="20">
        <f>sum(J38:J41)</f>
        <v>421.5</v>
      </c>
    </row>
    <row r="45">
      <c r="A45" s="2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2"/>
    </row>
    <row r="2">
      <c r="A2" s="1" t="s">
        <v>2</v>
      </c>
      <c r="B2" s="2" t="s">
        <v>3</v>
      </c>
      <c r="D2" s="3">
        <f>8+15+2+13+5+2</f>
        <v>45</v>
      </c>
      <c r="E2" s="3"/>
      <c r="G2" s="2"/>
      <c r="H2" s="2"/>
      <c r="I2" s="2"/>
      <c r="J2" s="2"/>
      <c r="K2" s="2"/>
    </row>
    <row r="3">
      <c r="A3" s="13"/>
      <c r="B3" s="3" t="s">
        <v>4</v>
      </c>
      <c r="C3" s="13"/>
      <c r="D3" s="3"/>
      <c r="E3" s="3"/>
      <c r="F3" s="13"/>
      <c r="G3" s="3"/>
      <c r="H3" s="13"/>
      <c r="I3" s="3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4.75" customHeight="1">
      <c r="B4" s="2" t="s">
        <v>5</v>
      </c>
      <c r="C4" s="2"/>
      <c r="D4" s="2">
        <f>17+54+22+44</f>
        <v>137</v>
      </c>
      <c r="E4" s="2"/>
      <c r="G4" s="2"/>
      <c r="H4" s="2"/>
      <c r="I4" s="2"/>
      <c r="J4" s="2"/>
      <c r="K4" s="2"/>
    </row>
    <row r="5">
      <c r="B5" s="2" t="s">
        <v>6</v>
      </c>
      <c r="C5" s="2"/>
      <c r="D5" s="4">
        <f>61+71+105+95+2+91</f>
        <v>425</v>
      </c>
      <c r="E5" s="4"/>
      <c r="G5" s="2"/>
      <c r="H5" s="2"/>
      <c r="I5" s="3"/>
      <c r="J5" s="2"/>
      <c r="K5" s="2"/>
    </row>
    <row r="6">
      <c r="A6" s="1" t="s">
        <v>7</v>
      </c>
      <c r="B6" s="2" t="s">
        <v>8</v>
      </c>
      <c r="D6" s="4"/>
      <c r="E6" s="4"/>
      <c r="G6" s="2"/>
      <c r="H6" s="2"/>
      <c r="I6" s="2"/>
      <c r="J6" s="2"/>
      <c r="K6" s="2"/>
    </row>
    <row r="7">
      <c r="B7" s="2" t="s">
        <v>9</v>
      </c>
      <c r="C7" s="2"/>
      <c r="D7" s="4"/>
      <c r="E7" s="4"/>
      <c r="G7" s="2"/>
      <c r="H7" s="2"/>
      <c r="I7" s="2"/>
      <c r="J7" s="2"/>
      <c r="K7" s="2"/>
    </row>
    <row r="8">
      <c r="B8" s="6"/>
      <c r="C8" s="5">
        <f t="shared" ref="C8:D8" si="1">SUM(C2:C7)</f>
        <v>0</v>
      </c>
      <c r="D8" s="5">
        <f t="shared" si="1"/>
        <v>607</v>
      </c>
      <c r="E8" s="5"/>
      <c r="F8" s="2"/>
      <c r="G8" s="2"/>
      <c r="H8" s="2"/>
      <c r="J8" s="2"/>
      <c r="K8" s="2"/>
    </row>
    <row r="9">
      <c r="B9" s="2" t="s">
        <v>11</v>
      </c>
      <c r="D9" s="2">
        <v>26.0</v>
      </c>
      <c r="E9" s="2"/>
      <c r="G9" s="2"/>
      <c r="H9" s="2"/>
    </row>
    <row r="10">
      <c r="B10" s="2" t="s">
        <v>12</v>
      </c>
      <c r="E10" s="2"/>
      <c r="F10" s="7"/>
      <c r="G10" s="2"/>
      <c r="H10" s="2"/>
    </row>
    <row r="11">
      <c r="B11" s="2" t="s">
        <v>13</v>
      </c>
      <c r="E11" s="2"/>
      <c r="G11" s="2"/>
      <c r="H11" s="2"/>
    </row>
    <row r="12">
      <c r="B12" s="2" t="s">
        <v>14</v>
      </c>
      <c r="D12" s="2">
        <v>216.0</v>
      </c>
      <c r="E12" s="2"/>
    </row>
    <row r="13">
      <c r="B13" s="2" t="s">
        <v>15</v>
      </c>
      <c r="C13" s="2">
        <f>32</f>
        <v>32</v>
      </c>
      <c r="E13" s="2"/>
      <c r="H13" s="2"/>
    </row>
    <row r="14">
      <c r="B14" s="2" t="s">
        <v>16</v>
      </c>
      <c r="C14" s="2"/>
      <c r="E14" s="2"/>
      <c r="H14" s="2"/>
    </row>
    <row r="15">
      <c r="B15" s="2" t="s">
        <v>17</v>
      </c>
      <c r="E15" s="2"/>
      <c r="H15" s="2"/>
      <c r="J15" s="23"/>
    </row>
    <row r="16">
      <c r="B16" s="2"/>
      <c r="D16" s="2"/>
      <c r="E16" s="2"/>
      <c r="H16" s="2"/>
    </row>
    <row r="17">
      <c r="A17" s="5" t="s">
        <v>10</v>
      </c>
      <c r="B17" s="6"/>
      <c r="C17" s="5">
        <f t="shared" ref="C17:D17" si="2">SUM(C9:C16)</f>
        <v>32</v>
      </c>
      <c r="D17" s="5">
        <f t="shared" si="2"/>
        <v>242</v>
      </c>
      <c r="E17" s="5"/>
      <c r="H17" s="2"/>
    </row>
    <row r="18">
      <c r="A18" s="1" t="s">
        <v>19</v>
      </c>
      <c r="B18" s="2" t="s">
        <v>20</v>
      </c>
      <c r="C18" s="2">
        <v>49.0</v>
      </c>
      <c r="D18" s="2"/>
      <c r="E18" s="2"/>
      <c r="H18" s="2"/>
    </row>
    <row r="19">
      <c r="B19" s="2" t="s">
        <v>21</v>
      </c>
      <c r="C19" s="2">
        <v>20.0</v>
      </c>
      <c r="D19" s="2">
        <f>44+69+10+16</f>
        <v>139</v>
      </c>
      <c r="E19" s="2"/>
      <c r="F19" s="2"/>
      <c r="H19" s="2"/>
    </row>
    <row r="20">
      <c r="B20" s="2" t="s">
        <v>22</v>
      </c>
      <c r="D20" s="2"/>
      <c r="H20" s="2"/>
    </row>
    <row r="21">
      <c r="A21" s="5" t="s">
        <v>10</v>
      </c>
      <c r="B21" s="5"/>
      <c r="C21" s="5">
        <f t="shared" ref="C21:D21" si="3">SUM(C18:C20)</f>
        <v>69</v>
      </c>
      <c r="D21" s="5">
        <f t="shared" si="3"/>
        <v>139</v>
      </c>
      <c r="E21" s="6"/>
    </row>
    <row r="22">
      <c r="A22" s="1" t="s">
        <v>23</v>
      </c>
      <c r="B22" s="2" t="s">
        <v>24</v>
      </c>
      <c r="C22" s="2"/>
      <c r="D22" s="2"/>
    </row>
    <row r="23">
      <c r="B23" s="2" t="s">
        <v>25</v>
      </c>
      <c r="C23" s="2"/>
      <c r="D23" s="2">
        <v>81.0</v>
      </c>
    </row>
    <row r="24">
      <c r="B24" s="2" t="s">
        <v>26</v>
      </c>
      <c r="D24" s="2"/>
    </row>
    <row r="25">
      <c r="B25" s="2" t="s">
        <v>27</v>
      </c>
      <c r="C25" s="2"/>
      <c r="D25" s="2">
        <v>50.0</v>
      </c>
    </row>
    <row r="26">
      <c r="B26" s="2" t="s">
        <v>28</v>
      </c>
      <c r="C26" s="2"/>
      <c r="D26" s="2">
        <f>17+18</f>
        <v>35</v>
      </c>
    </row>
    <row r="27">
      <c r="B27" s="2" t="s">
        <v>29</v>
      </c>
      <c r="C27" s="9"/>
      <c r="D27" s="10"/>
      <c r="E27" s="10"/>
    </row>
    <row r="28">
      <c r="A28" s="5" t="s">
        <v>10</v>
      </c>
      <c r="B28" s="5"/>
      <c r="C28" s="5">
        <f t="shared" ref="C28:D28" si="4">sum(C22:C27)</f>
        <v>0</v>
      </c>
      <c r="D28" s="5">
        <f t="shared" si="4"/>
        <v>166</v>
      </c>
      <c r="E28" s="6"/>
      <c r="H28" s="2" t="s">
        <v>30</v>
      </c>
    </row>
    <row r="29">
      <c r="A29" s="11" t="s">
        <v>10</v>
      </c>
    </row>
    <row r="30">
      <c r="A30" s="11" t="s">
        <v>31</v>
      </c>
      <c r="B30" s="12"/>
      <c r="C30" s="12"/>
      <c r="D30">
        <f>C8+C17+C21+C28</f>
        <v>101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1" t="s">
        <v>32</v>
      </c>
      <c r="B31" s="13"/>
      <c r="C31" s="13"/>
      <c r="D31" s="3">
        <f>D8+D17+D21+D28</f>
        <v>1154</v>
      </c>
      <c r="E31" s="3"/>
    </row>
    <row r="32">
      <c r="A32" s="11" t="s">
        <v>33</v>
      </c>
      <c r="B32" s="13"/>
      <c r="C32" s="13"/>
      <c r="D32" s="4">
        <f>(D31-D30)/2</f>
        <v>526.5</v>
      </c>
      <c r="E32" s="13"/>
    </row>
    <row r="33">
      <c r="A33" s="14"/>
    </row>
    <row r="34">
      <c r="A34" s="2" t="s">
        <v>34</v>
      </c>
    </row>
    <row r="35">
      <c r="A35" s="1" t="s">
        <v>35</v>
      </c>
      <c r="B35" s="1" t="s">
        <v>36</v>
      </c>
      <c r="F35" s="1" t="s">
        <v>37</v>
      </c>
      <c r="G35" s="1" t="s">
        <v>36</v>
      </c>
      <c r="I35" s="15" t="s">
        <v>38</v>
      </c>
      <c r="J35" s="16">
        <f>B42-G42</f>
        <v>-210.5</v>
      </c>
    </row>
    <row r="36">
      <c r="A36" s="17" t="s">
        <v>39</v>
      </c>
      <c r="B36" s="18">
        <f>D32</f>
        <v>526.5</v>
      </c>
      <c r="F36" s="17" t="s">
        <v>40</v>
      </c>
      <c r="G36" s="16">
        <v>500.0</v>
      </c>
    </row>
    <row r="37">
      <c r="A37" s="17" t="s">
        <v>41</v>
      </c>
      <c r="B37" s="17">
        <v>-352.0</v>
      </c>
      <c r="F37" s="19" t="s">
        <v>64</v>
      </c>
      <c r="G37" s="17"/>
      <c r="I37" s="3" t="s">
        <v>42</v>
      </c>
    </row>
    <row r="38">
      <c r="A38" s="17" t="s">
        <v>43</v>
      </c>
      <c r="B38" s="17">
        <v>115.0</v>
      </c>
      <c r="D38" s="2"/>
      <c r="E38" s="2"/>
      <c r="F38" s="17"/>
      <c r="G38" s="16">
        <v>0.0</v>
      </c>
      <c r="H38" s="2"/>
      <c r="I38" s="15" t="s">
        <v>44</v>
      </c>
      <c r="J38" s="20">
        <f>D17/2</f>
        <v>121</v>
      </c>
    </row>
    <row r="39">
      <c r="A39" s="17" t="s">
        <v>24</v>
      </c>
      <c r="B39" s="17"/>
      <c r="F39" s="17"/>
      <c r="G39" s="16"/>
      <c r="I39" s="15" t="s">
        <v>45</v>
      </c>
      <c r="J39" s="20">
        <f>D8/2</f>
        <v>303.5</v>
      </c>
    </row>
    <row r="40">
      <c r="A40" s="17" t="s">
        <v>58</v>
      </c>
      <c r="B40" s="17"/>
      <c r="F40" s="17"/>
      <c r="G40" s="17"/>
      <c r="I40" s="15" t="s">
        <v>46</v>
      </c>
      <c r="J40" s="20">
        <f>D21/2</f>
        <v>69.5</v>
      </c>
    </row>
    <row r="41">
      <c r="A41" s="17" t="s">
        <v>53</v>
      </c>
      <c r="B41" s="21"/>
      <c r="F41" s="17"/>
      <c r="G41" s="17"/>
      <c r="I41" s="15" t="s">
        <v>47</v>
      </c>
      <c r="J41" s="20">
        <f>D28/2</f>
        <v>83</v>
      </c>
    </row>
    <row r="42">
      <c r="A42" s="17" t="s">
        <v>10</v>
      </c>
      <c r="B42" s="22">
        <f>sum(B36:B41)</f>
        <v>289.5</v>
      </c>
      <c r="F42" s="17" t="s">
        <v>10</v>
      </c>
      <c r="G42" s="18">
        <f>sum(G36:G41)</f>
        <v>500</v>
      </c>
      <c r="I42" s="15" t="s">
        <v>48</v>
      </c>
      <c r="J42" s="20">
        <f>sum(J38:J41)</f>
        <v>577</v>
      </c>
    </row>
    <row r="45">
      <c r="A45" s="2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2"/>
    </row>
    <row r="2">
      <c r="A2" s="1" t="s">
        <v>2</v>
      </c>
      <c r="B2" s="2" t="s">
        <v>3</v>
      </c>
      <c r="C2" s="2">
        <v>7.0</v>
      </c>
      <c r="D2" s="3">
        <f>12+3+4+24+22</f>
        <v>65</v>
      </c>
      <c r="E2" s="3"/>
      <c r="G2" s="2"/>
      <c r="H2" s="2"/>
      <c r="I2" s="2"/>
      <c r="J2" s="2"/>
      <c r="K2" s="2"/>
    </row>
    <row r="3">
      <c r="A3" s="13"/>
      <c r="B3" s="3" t="s">
        <v>4</v>
      </c>
      <c r="C3" s="13"/>
      <c r="D3" s="3"/>
      <c r="E3" s="3"/>
      <c r="F3" s="13"/>
      <c r="G3" s="3"/>
      <c r="H3" s="13"/>
      <c r="I3" s="3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4.75" customHeight="1">
      <c r="B4" s="2" t="s">
        <v>5</v>
      </c>
      <c r="C4" s="2"/>
      <c r="D4" s="2">
        <f>51+41</f>
        <v>92</v>
      </c>
      <c r="E4" s="2"/>
      <c r="G4" s="2"/>
      <c r="H4" s="2"/>
      <c r="I4" s="2"/>
      <c r="J4" s="2"/>
      <c r="K4" s="2"/>
    </row>
    <row r="5">
      <c r="B5" s="2" t="s">
        <v>6</v>
      </c>
      <c r="C5" s="2"/>
      <c r="D5" s="4">
        <f>136+103+106</f>
        <v>345</v>
      </c>
      <c r="E5" s="4"/>
      <c r="G5" s="2"/>
      <c r="H5" s="2"/>
      <c r="I5" s="3"/>
      <c r="J5" s="2"/>
      <c r="K5" s="2"/>
    </row>
    <row r="6">
      <c r="A6" s="1" t="s">
        <v>7</v>
      </c>
      <c r="B6" s="2" t="s">
        <v>8</v>
      </c>
      <c r="D6" s="4"/>
      <c r="E6" s="4"/>
      <c r="G6" s="2"/>
      <c r="H6" s="2"/>
      <c r="I6" s="2"/>
      <c r="J6" s="2"/>
      <c r="K6" s="2"/>
    </row>
    <row r="7">
      <c r="B7" s="2" t="s">
        <v>9</v>
      </c>
      <c r="C7" s="2"/>
      <c r="D7" s="4"/>
      <c r="E7" s="4"/>
      <c r="G7" s="2"/>
      <c r="H7" s="2"/>
      <c r="I7" s="2"/>
      <c r="J7" s="2"/>
      <c r="K7" s="2"/>
    </row>
    <row r="8">
      <c r="B8" s="6"/>
      <c r="C8" s="5">
        <f t="shared" ref="C8:D8" si="1">SUM(C2:C7)</f>
        <v>7</v>
      </c>
      <c r="D8" s="5">
        <f t="shared" si="1"/>
        <v>502</v>
      </c>
      <c r="E8" s="5"/>
      <c r="F8" s="2"/>
      <c r="G8" s="2"/>
      <c r="H8" s="2"/>
      <c r="J8" s="2"/>
      <c r="K8" s="2"/>
    </row>
    <row r="9">
      <c r="B9" s="2" t="s">
        <v>11</v>
      </c>
      <c r="D9" s="2">
        <v>26.0</v>
      </c>
      <c r="E9" s="2"/>
      <c r="G9" s="2"/>
      <c r="H9" s="2"/>
    </row>
    <row r="10">
      <c r="B10" s="2" t="s">
        <v>12</v>
      </c>
      <c r="E10" s="2"/>
      <c r="F10" s="7"/>
      <c r="G10" s="2"/>
      <c r="H10" s="2"/>
    </row>
    <row r="11">
      <c r="B11" s="2" t="s">
        <v>13</v>
      </c>
      <c r="D11" s="2">
        <v>207.0</v>
      </c>
      <c r="E11" s="2"/>
      <c r="G11" s="2"/>
      <c r="H11" s="2"/>
    </row>
    <row r="12">
      <c r="B12" s="2" t="s">
        <v>14</v>
      </c>
      <c r="D12" s="2"/>
      <c r="E12" s="2"/>
    </row>
    <row r="13">
      <c r="B13" s="2" t="s">
        <v>15</v>
      </c>
      <c r="C13" s="2">
        <f>32</f>
        <v>32</v>
      </c>
      <c r="E13" s="2"/>
      <c r="H13" s="2"/>
    </row>
    <row r="14">
      <c r="B14" s="2" t="s">
        <v>16</v>
      </c>
      <c r="C14" s="2"/>
      <c r="E14" s="2"/>
      <c r="H14" s="2"/>
    </row>
    <row r="15">
      <c r="B15" s="2" t="s">
        <v>17</v>
      </c>
      <c r="E15" s="2"/>
      <c r="H15" s="2"/>
      <c r="J15" s="23"/>
    </row>
    <row r="16">
      <c r="B16" s="2"/>
      <c r="D16" s="2"/>
      <c r="E16" s="2"/>
      <c r="H16" s="2"/>
    </row>
    <row r="17">
      <c r="A17" s="5" t="s">
        <v>10</v>
      </c>
      <c r="B17" s="6"/>
      <c r="C17" s="5">
        <f t="shared" ref="C17:D17" si="2">SUM(C9:C16)</f>
        <v>32</v>
      </c>
      <c r="D17" s="5">
        <f t="shared" si="2"/>
        <v>233</v>
      </c>
      <c r="E17" s="5"/>
      <c r="H17" s="2"/>
    </row>
    <row r="18">
      <c r="A18" s="1" t="s">
        <v>19</v>
      </c>
      <c r="B18" s="2" t="s">
        <v>20</v>
      </c>
      <c r="C18" s="2"/>
      <c r="D18" s="2"/>
      <c r="E18" s="2"/>
      <c r="H18" s="2"/>
    </row>
    <row r="19">
      <c r="B19" s="2" t="s">
        <v>21</v>
      </c>
      <c r="C19" s="2">
        <f>6+241</f>
        <v>247</v>
      </c>
      <c r="D19" s="2">
        <f>907+86+595</f>
        <v>1588</v>
      </c>
      <c r="E19" s="2"/>
      <c r="F19" s="2"/>
      <c r="H19" s="2"/>
    </row>
    <row r="20">
      <c r="B20" s="2"/>
      <c r="C20" s="2"/>
      <c r="D20" s="2"/>
      <c r="E20" s="2"/>
      <c r="F20" s="2"/>
      <c r="H20" s="2"/>
    </row>
    <row r="21">
      <c r="B21" s="2" t="s">
        <v>22</v>
      </c>
      <c r="D21" s="2"/>
      <c r="H21" s="2"/>
    </row>
    <row r="22">
      <c r="A22" s="5" t="s">
        <v>10</v>
      </c>
      <c r="B22" s="5"/>
      <c r="C22" s="5">
        <f t="shared" ref="C22:D22" si="3">SUM(C18:C21)</f>
        <v>247</v>
      </c>
      <c r="D22" s="5">
        <f t="shared" si="3"/>
        <v>1588</v>
      </c>
      <c r="E22" s="6"/>
    </row>
    <row r="23">
      <c r="A23" s="1" t="s">
        <v>23</v>
      </c>
      <c r="B23" s="2" t="s">
        <v>24</v>
      </c>
      <c r="C23" s="2"/>
      <c r="D23" s="2"/>
    </row>
    <row r="24">
      <c r="B24" s="2" t="s">
        <v>25</v>
      </c>
      <c r="C24" s="2"/>
      <c r="D24" s="2">
        <v>26.0</v>
      </c>
    </row>
    <row r="25">
      <c r="B25" s="2" t="s">
        <v>26</v>
      </c>
      <c r="D25" s="2"/>
    </row>
    <row r="26">
      <c r="B26" s="2" t="s">
        <v>27</v>
      </c>
      <c r="C26" s="2"/>
      <c r="D26" s="2"/>
    </row>
    <row r="27">
      <c r="B27" s="2" t="s">
        <v>28</v>
      </c>
      <c r="C27" s="2"/>
      <c r="D27" s="2"/>
    </row>
    <row r="28">
      <c r="B28" s="2" t="s">
        <v>29</v>
      </c>
      <c r="C28" s="9"/>
      <c r="D28" s="10"/>
      <c r="E28" s="10"/>
    </row>
    <row r="29">
      <c r="A29" s="5" t="s">
        <v>10</v>
      </c>
      <c r="B29" s="5"/>
      <c r="C29" s="5">
        <f t="shared" ref="C29:D29" si="4">sum(C23:C28)</f>
        <v>0</v>
      </c>
      <c r="D29" s="5">
        <f t="shared" si="4"/>
        <v>26</v>
      </c>
      <c r="E29" s="6"/>
      <c r="H29" s="2" t="s">
        <v>30</v>
      </c>
    </row>
    <row r="30">
      <c r="A30" s="11" t="s">
        <v>10</v>
      </c>
    </row>
    <row r="31">
      <c r="A31" s="11" t="s">
        <v>31</v>
      </c>
      <c r="B31" s="12"/>
      <c r="C31" s="12"/>
      <c r="D31">
        <f>C8+C17+C22+C29</f>
        <v>286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1" t="s">
        <v>32</v>
      </c>
      <c r="B32" s="13"/>
      <c r="C32" s="13"/>
      <c r="D32" s="3">
        <f>D8+D17+D22+D29</f>
        <v>2349</v>
      </c>
      <c r="E32" s="3"/>
    </row>
    <row r="33">
      <c r="A33" s="11" t="s">
        <v>33</v>
      </c>
      <c r="B33" s="13"/>
      <c r="C33" s="13"/>
      <c r="D33" s="4">
        <f>(D32-D31)/2</f>
        <v>1031.5</v>
      </c>
      <c r="E33" s="13"/>
    </row>
    <row r="34">
      <c r="A34" s="14"/>
    </row>
    <row r="35">
      <c r="A35" s="2" t="s">
        <v>34</v>
      </c>
    </row>
    <row r="36">
      <c r="A36" s="1" t="s">
        <v>35</v>
      </c>
      <c r="B36" s="1" t="s">
        <v>36</v>
      </c>
      <c r="F36" s="1" t="s">
        <v>37</v>
      </c>
      <c r="G36" s="1" t="s">
        <v>36</v>
      </c>
      <c r="I36" s="15" t="s">
        <v>38</v>
      </c>
      <c r="J36" s="16">
        <f>B43-G43</f>
        <v>-720.5</v>
      </c>
    </row>
    <row r="37">
      <c r="A37" s="17" t="s">
        <v>39</v>
      </c>
      <c r="B37" s="18">
        <f>D33</f>
        <v>1031.5</v>
      </c>
      <c r="F37" s="17" t="s">
        <v>40</v>
      </c>
      <c r="G37" s="16">
        <v>600.0</v>
      </c>
    </row>
    <row r="38">
      <c r="A38" s="17" t="s">
        <v>41</v>
      </c>
      <c r="B38" s="17">
        <v>-234.0</v>
      </c>
      <c r="F38" s="19" t="s">
        <v>65</v>
      </c>
      <c r="G38" s="17">
        <v>734.0</v>
      </c>
      <c r="I38" s="3" t="s">
        <v>42</v>
      </c>
    </row>
    <row r="39">
      <c r="A39" s="17" t="s">
        <v>43</v>
      </c>
      <c r="B39" s="17">
        <v>115.0</v>
      </c>
      <c r="D39" s="2"/>
      <c r="E39" s="2"/>
      <c r="F39" s="17" t="s">
        <v>66</v>
      </c>
      <c r="G39" s="16">
        <v>299.0</v>
      </c>
      <c r="H39" s="2"/>
      <c r="I39" s="15" t="s">
        <v>44</v>
      </c>
      <c r="J39" s="20">
        <f>D17/2</f>
        <v>116.5</v>
      </c>
    </row>
    <row r="40">
      <c r="A40" s="17" t="s">
        <v>24</v>
      </c>
      <c r="B40" s="17"/>
      <c r="F40" s="17"/>
      <c r="G40" s="16"/>
      <c r="I40" s="15" t="s">
        <v>45</v>
      </c>
      <c r="J40" s="20">
        <f>D8/2</f>
        <v>251</v>
      </c>
    </row>
    <row r="41">
      <c r="A41" s="17" t="s">
        <v>58</v>
      </c>
      <c r="B41" s="17"/>
      <c r="F41" s="17"/>
      <c r="G41" s="17"/>
      <c r="I41" s="15" t="s">
        <v>46</v>
      </c>
      <c r="J41" s="20">
        <f>D22/2</f>
        <v>794</v>
      </c>
    </row>
    <row r="42">
      <c r="A42" s="17" t="s">
        <v>53</v>
      </c>
      <c r="B42" s="21"/>
      <c r="F42" s="17"/>
      <c r="G42" s="17"/>
      <c r="I42" s="15" t="s">
        <v>47</v>
      </c>
      <c r="J42" s="20">
        <f>D29/2</f>
        <v>13</v>
      </c>
    </row>
    <row r="43">
      <c r="A43" s="17" t="s">
        <v>10</v>
      </c>
      <c r="B43" s="22">
        <f>sum(B37:B42)</f>
        <v>912.5</v>
      </c>
      <c r="F43" s="17" t="s">
        <v>10</v>
      </c>
      <c r="G43" s="18">
        <f>sum(G37:G42)</f>
        <v>1633</v>
      </c>
      <c r="I43" s="15" t="s">
        <v>48</v>
      </c>
      <c r="J43" s="20">
        <f>sum(J39:J42)</f>
        <v>1174.5</v>
      </c>
    </row>
    <row r="46">
      <c r="A46" s="2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2"/>
    </row>
    <row r="2">
      <c r="A2" s="1" t="s">
        <v>2</v>
      </c>
      <c r="B2" s="2" t="s">
        <v>3</v>
      </c>
      <c r="C2" s="2">
        <v>2.0</v>
      </c>
      <c r="D2" s="3">
        <f>24+26+17+2+12+3</f>
        <v>84</v>
      </c>
      <c r="E2" s="3"/>
      <c r="G2" s="2"/>
      <c r="H2" s="2"/>
      <c r="I2" s="2"/>
      <c r="J2" s="2"/>
      <c r="K2" s="2"/>
    </row>
    <row r="3">
      <c r="A3" s="13"/>
      <c r="B3" s="3" t="s">
        <v>4</v>
      </c>
      <c r="C3" s="13"/>
      <c r="D3" s="3"/>
      <c r="E3" s="3"/>
      <c r="F3" s="13"/>
      <c r="G3" s="3"/>
      <c r="H3" s="13"/>
      <c r="I3" s="3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4.75" customHeight="1">
      <c r="B4" s="2" t="s">
        <v>5</v>
      </c>
      <c r="C4" s="2">
        <v>36.0</v>
      </c>
      <c r="D4" s="2"/>
      <c r="E4" s="2"/>
      <c r="G4" s="2"/>
      <c r="H4" s="2"/>
      <c r="I4" s="2"/>
      <c r="J4" s="2"/>
      <c r="K4" s="2"/>
    </row>
    <row r="5">
      <c r="B5" s="2" t="s">
        <v>6</v>
      </c>
      <c r="C5" s="2"/>
      <c r="D5" s="4">
        <f>106+101+112+115</f>
        <v>434</v>
      </c>
      <c r="E5" s="4"/>
      <c r="G5" s="2"/>
      <c r="H5" s="2"/>
      <c r="I5" s="3"/>
      <c r="J5" s="2"/>
      <c r="K5" s="2"/>
    </row>
    <row r="6">
      <c r="A6" s="1" t="s">
        <v>7</v>
      </c>
      <c r="B6" s="2" t="s">
        <v>8</v>
      </c>
      <c r="D6" s="4"/>
      <c r="E6" s="4"/>
      <c r="G6" s="2"/>
      <c r="H6" s="2"/>
      <c r="I6" s="2"/>
      <c r="J6" s="2"/>
      <c r="K6" s="2"/>
    </row>
    <row r="7">
      <c r="B7" s="2" t="s">
        <v>9</v>
      </c>
      <c r="C7" s="2"/>
      <c r="D7" s="4"/>
      <c r="E7" s="4"/>
      <c r="G7" s="2"/>
      <c r="H7" s="2"/>
      <c r="I7" s="2"/>
      <c r="J7" s="2"/>
      <c r="K7" s="2"/>
    </row>
    <row r="8">
      <c r="B8" s="6"/>
      <c r="C8" s="5">
        <f t="shared" ref="C8:D8" si="1">SUM(C2:C7)</f>
        <v>38</v>
      </c>
      <c r="D8" s="5">
        <f t="shared" si="1"/>
        <v>518</v>
      </c>
      <c r="E8" s="5"/>
      <c r="F8" s="2"/>
      <c r="G8" s="2"/>
      <c r="H8" s="2"/>
      <c r="J8" s="2"/>
      <c r="K8" s="2"/>
    </row>
    <row r="9">
      <c r="B9" s="2" t="s">
        <v>11</v>
      </c>
      <c r="D9" s="2">
        <v>26.0</v>
      </c>
      <c r="E9" s="2"/>
      <c r="G9" s="2"/>
      <c r="H9" s="2"/>
    </row>
    <row r="10">
      <c r="B10" s="2" t="s">
        <v>12</v>
      </c>
      <c r="E10" s="2"/>
      <c r="F10" s="7"/>
      <c r="G10" s="2"/>
      <c r="H10" s="2"/>
    </row>
    <row r="11">
      <c r="B11" s="2" t="s">
        <v>13</v>
      </c>
      <c r="D11" s="2"/>
      <c r="E11" s="2"/>
      <c r="G11" s="2"/>
      <c r="H11" s="2"/>
    </row>
    <row r="12">
      <c r="B12" s="2" t="s">
        <v>14</v>
      </c>
      <c r="D12" s="2">
        <v>181.0</v>
      </c>
      <c r="E12" s="2"/>
    </row>
    <row r="13">
      <c r="B13" s="2" t="s">
        <v>15</v>
      </c>
      <c r="C13" s="2">
        <v>32.0</v>
      </c>
      <c r="E13" s="2"/>
      <c r="H13" s="2"/>
    </row>
    <row r="14">
      <c r="B14" s="2" t="s">
        <v>16</v>
      </c>
      <c r="C14" s="2"/>
      <c r="E14" s="2"/>
      <c r="H14" s="2"/>
    </row>
    <row r="15">
      <c r="B15" s="2" t="s">
        <v>17</v>
      </c>
      <c r="C15">
        <f>185</f>
        <v>185</v>
      </c>
      <c r="E15" s="2"/>
      <c r="H15" s="2"/>
      <c r="J15" s="23"/>
    </row>
    <row r="16">
      <c r="B16" s="2"/>
      <c r="D16" s="2"/>
      <c r="E16" s="2"/>
      <c r="H16" s="2"/>
    </row>
    <row r="17">
      <c r="A17" s="5" t="s">
        <v>10</v>
      </c>
      <c r="B17" s="6"/>
      <c r="C17" s="5">
        <f t="shared" ref="C17:D17" si="2">SUM(C9:C16)</f>
        <v>217</v>
      </c>
      <c r="D17" s="5">
        <f t="shared" si="2"/>
        <v>207</v>
      </c>
      <c r="E17" s="5"/>
      <c r="H17" s="2"/>
    </row>
    <row r="18">
      <c r="A18" s="1" t="s">
        <v>19</v>
      </c>
      <c r="B18" s="2" t="s">
        <v>20</v>
      </c>
      <c r="C18" s="2"/>
      <c r="D18" s="2">
        <v>51.0</v>
      </c>
      <c r="E18" s="2"/>
      <c r="H18" s="2"/>
    </row>
    <row r="19">
      <c r="B19" s="2" t="s">
        <v>21</v>
      </c>
      <c r="C19" s="2">
        <f>2138+71</f>
        <v>2209</v>
      </c>
      <c r="D19" s="2">
        <f>95+82</f>
        <v>177</v>
      </c>
      <c r="E19" s="2"/>
      <c r="F19" s="2"/>
      <c r="H19" s="2"/>
    </row>
    <row r="20">
      <c r="B20" s="2"/>
      <c r="C20" s="2"/>
      <c r="D20" s="2"/>
      <c r="E20" s="2"/>
      <c r="F20" s="2"/>
      <c r="H20" s="2"/>
    </row>
    <row r="21">
      <c r="B21" s="2" t="s">
        <v>22</v>
      </c>
      <c r="D21" s="2"/>
      <c r="H21" s="2"/>
    </row>
    <row r="22">
      <c r="A22" s="5" t="s">
        <v>10</v>
      </c>
      <c r="B22" s="5"/>
      <c r="C22" s="5">
        <f t="shared" ref="C22:D22" si="3">SUM(C18:C21)</f>
        <v>2209</v>
      </c>
      <c r="D22" s="5">
        <f t="shared" si="3"/>
        <v>228</v>
      </c>
      <c r="E22" s="6"/>
    </row>
    <row r="23">
      <c r="A23" s="1" t="s">
        <v>23</v>
      </c>
      <c r="B23" s="2" t="s">
        <v>24</v>
      </c>
      <c r="C23" s="2"/>
      <c r="D23" s="2"/>
    </row>
    <row r="24">
      <c r="B24" s="2" t="s">
        <v>25</v>
      </c>
      <c r="C24" s="2"/>
      <c r="D24" s="2">
        <v>99.0</v>
      </c>
    </row>
    <row r="25">
      <c r="B25" s="2" t="s">
        <v>26</v>
      </c>
      <c r="D25" s="2"/>
    </row>
    <row r="26">
      <c r="B26" s="2" t="s">
        <v>27</v>
      </c>
      <c r="C26" s="2"/>
      <c r="D26" s="2"/>
    </row>
    <row r="27">
      <c r="B27" s="2" t="s">
        <v>28</v>
      </c>
      <c r="C27" s="2">
        <v>80.0</v>
      </c>
      <c r="D27" s="2"/>
    </row>
    <row r="28">
      <c r="B28" s="2" t="s">
        <v>29</v>
      </c>
      <c r="C28" s="9"/>
      <c r="D28" s="10"/>
      <c r="E28" s="10"/>
    </row>
    <row r="29">
      <c r="A29" s="5" t="s">
        <v>10</v>
      </c>
      <c r="B29" s="5"/>
      <c r="C29" s="5">
        <f t="shared" ref="C29:D29" si="4">sum(C23:C28)</f>
        <v>80</v>
      </c>
      <c r="D29" s="5">
        <f t="shared" si="4"/>
        <v>99</v>
      </c>
      <c r="E29" s="6"/>
      <c r="H29" s="2" t="s">
        <v>30</v>
      </c>
    </row>
    <row r="30">
      <c r="A30" s="11" t="s">
        <v>10</v>
      </c>
    </row>
    <row r="31">
      <c r="A31" s="11" t="s">
        <v>31</v>
      </c>
      <c r="B31" s="12"/>
      <c r="C31" s="12"/>
      <c r="D31">
        <f>C8+C17+C22+C29</f>
        <v>2544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1" t="s">
        <v>32</v>
      </c>
      <c r="B32" s="13"/>
      <c r="C32" s="13"/>
      <c r="D32" s="3">
        <f>D8+D17+D22+D29</f>
        <v>1052</v>
      </c>
      <c r="E32" s="3"/>
    </row>
    <row r="33">
      <c r="A33" s="11" t="s">
        <v>33</v>
      </c>
      <c r="B33" s="13"/>
      <c r="C33" s="13"/>
      <c r="D33" s="4">
        <f>(D32-D31)/2</f>
        <v>-746</v>
      </c>
      <c r="E33" s="13"/>
    </row>
    <row r="34">
      <c r="A34" s="14"/>
    </row>
    <row r="35">
      <c r="A35" s="2" t="s">
        <v>34</v>
      </c>
    </row>
    <row r="36">
      <c r="A36" s="1" t="s">
        <v>35</v>
      </c>
      <c r="B36" s="1" t="s">
        <v>36</v>
      </c>
      <c r="F36" s="1" t="s">
        <v>37</v>
      </c>
      <c r="G36" s="1" t="s">
        <v>36</v>
      </c>
      <c r="I36" s="15" t="s">
        <v>38</v>
      </c>
      <c r="J36" s="16">
        <f>B43-G43</f>
        <v>-261</v>
      </c>
    </row>
    <row r="37">
      <c r="A37" s="17" t="s">
        <v>39</v>
      </c>
      <c r="B37" s="18">
        <f>D33</f>
        <v>-746</v>
      </c>
      <c r="F37" s="17" t="s">
        <v>40</v>
      </c>
      <c r="G37" s="16"/>
    </row>
    <row r="38">
      <c r="A38" s="17" t="s">
        <v>41</v>
      </c>
      <c r="B38" s="17">
        <v>-721.0</v>
      </c>
      <c r="F38" s="19" t="s">
        <v>67</v>
      </c>
      <c r="G38" s="17">
        <v>20.0</v>
      </c>
      <c r="I38" s="3" t="s">
        <v>42</v>
      </c>
    </row>
    <row r="39">
      <c r="A39" s="17" t="s">
        <v>43</v>
      </c>
      <c r="B39" s="17">
        <v>115.0</v>
      </c>
      <c r="D39" s="2"/>
      <c r="E39" s="2"/>
      <c r="F39" s="17"/>
      <c r="G39" s="16"/>
      <c r="H39" s="2"/>
      <c r="I39" s="15" t="s">
        <v>44</v>
      </c>
      <c r="J39" s="20">
        <f>D17/2</f>
        <v>103.5</v>
      </c>
    </row>
    <row r="40">
      <c r="A40" s="17" t="s">
        <v>68</v>
      </c>
      <c r="B40" s="17">
        <v>17.0</v>
      </c>
      <c r="F40" s="17"/>
      <c r="G40" s="16"/>
      <c r="I40" s="15" t="s">
        <v>45</v>
      </c>
      <c r="J40" s="20">
        <f>D8/2</f>
        <v>259</v>
      </c>
    </row>
    <row r="41">
      <c r="A41" s="17" t="s">
        <v>69</v>
      </c>
      <c r="B41" s="17">
        <v>1069.0</v>
      </c>
      <c r="F41" s="17"/>
      <c r="G41" s="17"/>
      <c r="I41" s="15" t="s">
        <v>46</v>
      </c>
      <c r="J41" s="20">
        <f>D22/2</f>
        <v>114</v>
      </c>
    </row>
    <row r="42">
      <c r="A42" s="17" t="s">
        <v>70</v>
      </c>
      <c r="B42" s="21">
        <v>25.0</v>
      </c>
      <c r="F42" s="17"/>
      <c r="G42" s="17"/>
      <c r="I42" s="15" t="s">
        <v>47</v>
      </c>
      <c r="J42" s="20">
        <f>D29/2</f>
        <v>49.5</v>
      </c>
    </row>
    <row r="43">
      <c r="A43" s="17" t="s">
        <v>10</v>
      </c>
      <c r="B43" s="22">
        <f>sum(B37:B42)</f>
        <v>-241</v>
      </c>
      <c r="F43" s="17" t="s">
        <v>10</v>
      </c>
      <c r="G43" s="18">
        <f>sum(G37:G42)</f>
        <v>20</v>
      </c>
      <c r="I43" s="15" t="s">
        <v>48</v>
      </c>
      <c r="J43" s="20">
        <f>sum(J39:J42)</f>
        <v>526</v>
      </c>
    </row>
    <row r="46">
      <c r="A46" s="2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2"/>
    </row>
    <row r="2">
      <c r="A2" s="1" t="s">
        <v>2</v>
      </c>
      <c r="B2" s="2" t="s">
        <v>3</v>
      </c>
      <c r="C2" s="2"/>
      <c r="D2" s="3">
        <v>12.0</v>
      </c>
      <c r="E2" s="3"/>
      <c r="G2" s="2"/>
      <c r="H2" s="2"/>
      <c r="I2" s="2"/>
      <c r="J2" s="2"/>
      <c r="K2" s="2"/>
    </row>
    <row r="3">
      <c r="A3" s="13"/>
      <c r="B3" s="3" t="s">
        <v>4</v>
      </c>
      <c r="C3" s="13"/>
      <c r="D3" s="3"/>
      <c r="E3" s="3"/>
      <c r="F3" s="13"/>
      <c r="G3" s="3"/>
      <c r="H3" s="13"/>
      <c r="I3" s="3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4.75" customHeight="1">
      <c r="B4" s="2" t="s">
        <v>5</v>
      </c>
      <c r="C4" s="2"/>
      <c r="D4" s="2">
        <v>35.0</v>
      </c>
      <c r="E4" s="2"/>
      <c r="G4" s="2"/>
      <c r="H4" s="2"/>
      <c r="I4" s="2"/>
      <c r="J4" s="2"/>
      <c r="K4" s="2"/>
    </row>
    <row r="5">
      <c r="B5" s="2" t="s">
        <v>6</v>
      </c>
      <c r="C5" s="2"/>
      <c r="D5" s="4">
        <f>119+98+100+94</f>
        <v>411</v>
      </c>
      <c r="E5" s="4"/>
      <c r="G5" s="2"/>
      <c r="H5" s="2"/>
      <c r="I5" s="3"/>
      <c r="J5" s="2"/>
      <c r="K5" s="2"/>
    </row>
    <row r="6">
      <c r="A6" s="1" t="s">
        <v>7</v>
      </c>
      <c r="B6" s="2" t="s">
        <v>8</v>
      </c>
      <c r="D6" s="4"/>
      <c r="E6" s="4"/>
      <c r="G6" s="2"/>
      <c r="H6" s="2"/>
      <c r="I6" s="2"/>
      <c r="J6" s="2"/>
      <c r="K6" s="2"/>
    </row>
    <row r="7">
      <c r="B7" s="2" t="s">
        <v>9</v>
      </c>
      <c r="C7" s="2"/>
      <c r="D7" s="4"/>
      <c r="E7" s="4"/>
      <c r="G7" s="2"/>
      <c r="H7" s="2"/>
      <c r="I7" s="2"/>
      <c r="J7" s="2"/>
      <c r="K7" s="2"/>
    </row>
    <row r="8">
      <c r="B8" s="6"/>
      <c r="C8" s="5">
        <f t="shared" ref="C8:D8" si="1">SUM(C2:C7)</f>
        <v>0</v>
      </c>
      <c r="D8" s="5">
        <f t="shared" si="1"/>
        <v>458</v>
      </c>
      <c r="E8" s="5"/>
      <c r="F8" s="2"/>
      <c r="G8" s="2"/>
      <c r="H8" s="2"/>
      <c r="J8" s="2"/>
      <c r="K8" s="2"/>
    </row>
    <row r="9">
      <c r="B9" s="2" t="s">
        <v>11</v>
      </c>
      <c r="D9" s="2">
        <v>26.0</v>
      </c>
      <c r="E9" s="2"/>
      <c r="G9" s="2"/>
      <c r="H9" s="2"/>
    </row>
    <row r="10">
      <c r="B10" s="2" t="s">
        <v>12</v>
      </c>
      <c r="E10" s="2"/>
      <c r="F10" s="7"/>
      <c r="G10" s="2"/>
      <c r="H10" s="2"/>
    </row>
    <row r="11">
      <c r="B11" s="2" t="s">
        <v>13</v>
      </c>
      <c r="D11" s="2"/>
      <c r="E11" s="2"/>
      <c r="G11" s="2"/>
      <c r="H11" s="2"/>
    </row>
    <row r="12">
      <c r="B12" s="2" t="s">
        <v>14</v>
      </c>
      <c r="D12" s="2">
        <v>160.0</v>
      </c>
      <c r="E12" s="2"/>
    </row>
    <row r="13">
      <c r="B13" s="2" t="s">
        <v>15</v>
      </c>
      <c r="C13" s="2">
        <v>33.0</v>
      </c>
      <c r="E13" s="2"/>
      <c r="H13" s="2"/>
    </row>
    <row r="14">
      <c r="B14" s="2" t="s">
        <v>16</v>
      </c>
      <c r="C14" s="2"/>
      <c r="E14" s="2"/>
      <c r="H14" s="2"/>
    </row>
    <row r="15">
      <c r="B15" s="2" t="s">
        <v>17</v>
      </c>
      <c r="E15" s="2"/>
      <c r="H15" s="2"/>
      <c r="J15" s="23"/>
    </row>
    <row r="16">
      <c r="B16" s="2"/>
      <c r="D16" s="2"/>
      <c r="E16" s="2"/>
      <c r="H16" s="2"/>
    </row>
    <row r="17">
      <c r="A17" s="5" t="s">
        <v>10</v>
      </c>
      <c r="B17" s="6"/>
      <c r="C17" s="5">
        <f t="shared" ref="C17:D17" si="2">SUM(C9:C16)</f>
        <v>33</v>
      </c>
      <c r="D17" s="5">
        <f t="shared" si="2"/>
        <v>186</v>
      </c>
      <c r="E17" s="5"/>
      <c r="H17" s="2"/>
    </row>
    <row r="18">
      <c r="A18" s="1" t="s">
        <v>19</v>
      </c>
      <c r="B18" s="2" t="s">
        <v>20</v>
      </c>
      <c r="C18" s="2"/>
      <c r="D18" s="2"/>
      <c r="E18" s="2"/>
      <c r="H18" s="2"/>
    </row>
    <row r="19">
      <c r="B19" s="2" t="s">
        <v>21</v>
      </c>
      <c r="C19" s="2"/>
      <c r="D19" s="2"/>
      <c r="E19" s="2"/>
      <c r="F19" s="2"/>
      <c r="H19" s="2"/>
    </row>
    <row r="20">
      <c r="B20" s="2"/>
      <c r="C20" s="2"/>
      <c r="D20" s="2"/>
      <c r="E20" s="2"/>
      <c r="F20" s="2"/>
      <c r="H20" s="2"/>
    </row>
    <row r="21">
      <c r="B21" s="2" t="s">
        <v>22</v>
      </c>
      <c r="D21" s="2"/>
      <c r="H21" s="2"/>
    </row>
    <row r="22">
      <c r="A22" s="5" t="s">
        <v>10</v>
      </c>
      <c r="B22" s="5"/>
      <c r="C22" s="5">
        <f t="shared" ref="C22:D22" si="3">SUM(C18:C21)</f>
        <v>0</v>
      </c>
      <c r="D22" s="5">
        <f t="shared" si="3"/>
        <v>0</v>
      </c>
      <c r="E22" s="6"/>
    </row>
    <row r="23">
      <c r="A23" s="1" t="s">
        <v>23</v>
      </c>
      <c r="B23" s="2" t="s">
        <v>24</v>
      </c>
      <c r="C23" s="2"/>
      <c r="D23" s="2"/>
    </row>
    <row r="24">
      <c r="B24" s="2" t="s">
        <v>25</v>
      </c>
      <c r="C24" s="2"/>
      <c r="D24" s="2"/>
    </row>
    <row r="25">
      <c r="B25" s="2" t="s">
        <v>26</v>
      </c>
      <c r="D25" s="2"/>
    </row>
    <row r="26">
      <c r="B26" s="2" t="s">
        <v>27</v>
      </c>
      <c r="C26" s="2"/>
      <c r="D26" s="2">
        <v>50.0</v>
      </c>
    </row>
    <row r="27">
      <c r="B27" s="2" t="s">
        <v>28</v>
      </c>
      <c r="C27" s="2"/>
      <c r="D27" s="2"/>
    </row>
    <row r="28">
      <c r="B28" s="2" t="s">
        <v>29</v>
      </c>
      <c r="C28" s="9"/>
      <c r="D28" s="10"/>
      <c r="E28" s="10"/>
    </row>
    <row r="29">
      <c r="A29" s="5" t="s">
        <v>10</v>
      </c>
      <c r="B29" s="5"/>
      <c r="C29" s="5">
        <f t="shared" ref="C29:D29" si="4">sum(C23:C28)</f>
        <v>0</v>
      </c>
      <c r="D29" s="5">
        <f t="shared" si="4"/>
        <v>50</v>
      </c>
      <c r="E29" s="6"/>
      <c r="H29" s="2" t="s">
        <v>30</v>
      </c>
    </row>
    <row r="30">
      <c r="A30" s="11" t="s">
        <v>10</v>
      </c>
    </row>
    <row r="31">
      <c r="A31" s="11" t="s">
        <v>31</v>
      </c>
      <c r="B31" s="12"/>
      <c r="C31" s="12"/>
      <c r="D31">
        <f>C8+C17+C22+C29</f>
        <v>33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1" t="s">
        <v>32</v>
      </c>
      <c r="B32" s="13"/>
      <c r="C32" s="13"/>
      <c r="D32" s="3">
        <f>D8+D17+D22+D29</f>
        <v>694</v>
      </c>
      <c r="E32" s="3"/>
    </row>
    <row r="33">
      <c r="A33" s="11" t="s">
        <v>33</v>
      </c>
      <c r="B33" s="13"/>
      <c r="C33" s="13"/>
      <c r="D33" s="4">
        <f>(D32-D31)/2</f>
        <v>330.5</v>
      </c>
      <c r="E33" s="13"/>
    </row>
    <row r="34">
      <c r="A34" s="14"/>
    </row>
    <row r="35">
      <c r="A35" s="2" t="s">
        <v>34</v>
      </c>
    </row>
    <row r="36">
      <c r="A36" s="1" t="s">
        <v>35</v>
      </c>
      <c r="B36" s="1" t="s">
        <v>36</v>
      </c>
      <c r="F36" s="1" t="s">
        <v>37</v>
      </c>
      <c r="G36" s="1" t="s">
        <v>36</v>
      </c>
      <c r="I36" s="15" t="s">
        <v>38</v>
      </c>
      <c r="J36" s="16">
        <f>B43-G43</f>
        <v>-395.5</v>
      </c>
    </row>
    <row r="37">
      <c r="A37" s="17" t="s">
        <v>39</v>
      </c>
      <c r="B37" s="18">
        <f>D33</f>
        <v>330.5</v>
      </c>
      <c r="F37" s="17" t="s">
        <v>40</v>
      </c>
      <c r="G37" s="16">
        <v>600.0</v>
      </c>
    </row>
    <row r="38">
      <c r="A38" s="17" t="s">
        <v>41</v>
      </c>
      <c r="B38" s="17">
        <v>-261.0</v>
      </c>
      <c r="F38" s="19"/>
      <c r="G38" s="17"/>
      <c r="I38" s="3" t="s">
        <v>42</v>
      </c>
    </row>
    <row r="39">
      <c r="A39" s="17" t="s">
        <v>43</v>
      </c>
      <c r="B39" s="17">
        <v>115.0</v>
      </c>
      <c r="D39" s="2"/>
      <c r="E39" s="2"/>
      <c r="F39" s="17"/>
      <c r="G39" s="16"/>
      <c r="H39" s="2"/>
      <c r="I39" s="15" t="s">
        <v>44</v>
      </c>
      <c r="J39" s="20">
        <f>D17/2</f>
        <v>93</v>
      </c>
    </row>
    <row r="40">
      <c r="A40" s="17" t="s">
        <v>24</v>
      </c>
      <c r="B40" s="17"/>
      <c r="F40" s="17"/>
      <c r="G40" s="16"/>
      <c r="I40" s="15" t="s">
        <v>45</v>
      </c>
      <c r="J40" s="20">
        <f>D8/2</f>
        <v>229</v>
      </c>
    </row>
    <row r="41">
      <c r="A41" s="17"/>
      <c r="B41" s="17">
        <v>20.0</v>
      </c>
      <c r="F41" s="17"/>
      <c r="G41" s="17"/>
      <c r="I41" s="15" t="s">
        <v>46</v>
      </c>
      <c r="J41" s="20">
        <f>D22/2</f>
        <v>0</v>
      </c>
    </row>
    <row r="42">
      <c r="A42" s="17"/>
      <c r="B42" s="21"/>
      <c r="F42" s="17"/>
      <c r="G42" s="17"/>
      <c r="I42" s="15" t="s">
        <v>47</v>
      </c>
      <c r="J42" s="20">
        <f>D29/2</f>
        <v>25</v>
      </c>
    </row>
    <row r="43">
      <c r="A43" s="17" t="s">
        <v>10</v>
      </c>
      <c r="B43" s="22">
        <f>sum(B37:B42)</f>
        <v>204.5</v>
      </c>
      <c r="F43" s="17" t="s">
        <v>10</v>
      </c>
      <c r="G43" s="18">
        <f>sum(G37:G42)</f>
        <v>600</v>
      </c>
      <c r="I43" s="15" t="s">
        <v>48</v>
      </c>
      <c r="J43" s="20">
        <f>sum(J39:J42)</f>
        <v>347</v>
      </c>
    </row>
    <row r="46">
      <c r="A46" s="2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</sheetData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2"/>
    </row>
    <row r="2">
      <c r="A2" s="1" t="s">
        <v>2</v>
      </c>
      <c r="B2" s="2" t="s">
        <v>3</v>
      </c>
      <c r="C2" s="2">
        <f>20</f>
        <v>20</v>
      </c>
      <c r="D2" s="3">
        <f>8+17+3+6+2+15</f>
        <v>51</v>
      </c>
      <c r="E2" s="3"/>
      <c r="G2" s="2"/>
      <c r="H2" s="2"/>
      <c r="I2" s="2"/>
      <c r="J2" s="2"/>
      <c r="K2" s="2"/>
    </row>
    <row r="3">
      <c r="A3" s="13"/>
      <c r="B3" s="3" t="s">
        <v>4</v>
      </c>
      <c r="C3" s="13"/>
      <c r="D3" s="3"/>
      <c r="E3" s="3"/>
      <c r="F3" s="13"/>
      <c r="G3" s="3"/>
      <c r="H3" s="13"/>
      <c r="I3" s="3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4.75" customHeight="1">
      <c r="B4" s="2" t="s">
        <v>5</v>
      </c>
      <c r="C4" s="2"/>
      <c r="D4" s="2">
        <v>36.0</v>
      </c>
      <c r="E4" s="2"/>
      <c r="G4" s="2"/>
      <c r="H4" s="2"/>
      <c r="I4" s="2"/>
      <c r="J4" s="2"/>
      <c r="K4" s="2"/>
    </row>
    <row r="5">
      <c r="B5" s="2" t="s">
        <v>6</v>
      </c>
      <c r="C5" s="2"/>
      <c r="D5" s="4">
        <f>91+26+44+95+160+71</f>
        <v>487</v>
      </c>
      <c r="E5" s="4"/>
      <c r="G5" s="2"/>
      <c r="H5" s="2"/>
      <c r="I5" s="3"/>
      <c r="J5" s="2"/>
      <c r="K5" s="2"/>
    </row>
    <row r="6">
      <c r="A6" s="1" t="s">
        <v>7</v>
      </c>
      <c r="B6" s="2" t="s">
        <v>8</v>
      </c>
      <c r="D6" s="4"/>
      <c r="E6" s="4"/>
      <c r="G6" s="2"/>
      <c r="H6" s="2"/>
      <c r="I6" s="2">
        <v>49.96</v>
      </c>
      <c r="J6" s="2">
        <f>SUM(I6:I22)</f>
        <v>310.36</v>
      </c>
      <c r="K6" s="2"/>
    </row>
    <row r="7">
      <c r="B7" s="2"/>
      <c r="C7" s="2"/>
      <c r="D7" s="4"/>
      <c r="E7" s="4"/>
      <c r="G7" s="2"/>
      <c r="H7" s="2"/>
      <c r="I7" s="2">
        <v>29.0</v>
      </c>
      <c r="J7" s="2"/>
      <c r="K7" s="2"/>
    </row>
    <row r="8">
      <c r="B8" s="6"/>
      <c r="C8" s="5">
        <f t="shared" ref="C8:D8" si="1">SUM(C2:C7)</f>
        <v>20</v>
      </c>
      <c r="D8" s="5">
        <f t="shared" si="1"/>
        <v>574</v>
      </c>
      <c r="E8" s="5"/>
      <c r="F8" s="2"/>
      <c r="G8" s="2"/>
      <c r="H8" s="2"/>
      <c r="I8" s="2">
        <v>2.6</v>
      </c>
      <c r="J8" s="2"/>
      <c r="K8" s="2"/>
    </row>
    <row r="9">
      <c r="B9" s="2" t="s">
        <v>11</v>
      </c>
      <c r="D9" s="2">
        <v>29.0</v>
      </c>
      <c r="E9" s="2"/>
      <c r="G9" s="2"/>
      <c r="H9" s="2"/>
      <c r="I9" s="2">
        <v>14.7</v>
      </c>
    </row>
    <row r="10">
      <c r="B10" s="2" t="s">
        <v>12</v>
      </c>
      <c r="E10" s="2"/>
      <c r="F10" s="7"/>
      <c r="G10" s="2"/>
      <c r="H10" s="2"/>
      <c r="I10" s="2">
        <v>3.7</v>
      </c>
    </row>
    <row r="11">
      <c r="B11" s="2" t="s">
        <v>13</v>
      </c>
      <c r="D11" s="2"/>
      <c r="E11" s="2"/>
      <c r="G11" s="2"/>
      <c r="H11" s="2"/>
      <c r="I11" s="2">
        <v>2.6</v>
      </c>
    </row>
    <row r="12">
      <c r="B12" s="2" t="s">
        <v>14</v>
      </c>
      <c r="D12" s="2">
        <v>160.0</v>
      </c>
      <c r="E12" s="2"/>
      <c r="I12" s="2">
        <v>5.0</v>
      </c>
    </row>
    <row r="13">
      <c r="B13" s="2" t="s">
        <v>15</v>
      </c>
      <c r="C13" s="2">
        <v>33.0</v>
      </c>
      <c r="E13" s="2"/>
      <c r="H13" s="2"/>
      <c r="I13" s="2">
        <v>24.0</v>
      </c>
    </row>
    <row r="14">
      <c r="B14" s="2" t="s">
        <v>16</v>
      </c>
      <c r="C14" s="2"/>
      <c r="E14" s="2"/>
      <c r="H14" s="2"/>
      <c r="I14" s="2">
        <v>1.0</v>
      </c>
    </row>
    <row r="15">
      <c r="B15" s="2" t="s">
        <v>17</v>
      </c>
      <c r="E15" s="2"/>
      <c r="H15" s="2"/>
      <c r="I15" s="2">
        <v>94.6</v>
      </c>
      <c r="J15" s="23"/>
    </row>
    <row r="16">
      <c r="B16" s="2"/>
      <c r="D16" s="2"/>
      <c r="E16" s="2"/>
      <c r="H16" s="2"/>
      <c r="I16" s="2">
        <v>24.4</v>
      </c>
    </row>
    <row r="17">
      <c r="A17" s="5" t="s">
        <v>10</v>
      </c>
      <c r="B17" s="6"/>
      <c r="C17" s="5">
        <f t="shared" ref="C17:D17" si="2">SUM(C9:C16)</f>
        <v>33</v>
      </c>
      <c r="D17" s="5">
        <f t="shared" si="2"/>
        <v>189</v>
      </c>
      <c r="E17" s="5"/>
      <c r="H17" s="2"/>
      <c r="I17" s="2">
        <v>4.9</v>
      </c>
    </row>
    <row r="18">
      <c r="A18" s="1" t="s">
        <v>19</v>
      </c>
      <c r="B18" s="2" t="s">
        <v>20</v>
      </c>
      <c r="C18" s="2"/>
      <c r="D18" s="2">
        <v>67.0</v>
      </c>
      <c r="E18" s="2"/>
      <c r="H18" s="2"/>
      <c r="I18" s="2">
        <v>3.7</v>
      </c>
    </row>
    <row r="19">
      <c r="B19" s="2" t="s">
        <v>21</v>
      </c>
      <c r="C19" s="2">
        <f>30+310</f>
        <v>340</v>
      </c>
      <c r="D19" s="2">
        <f>22+108+10+20+17+3+26+102+111+103</f>
        <v>522</v>
      </c>
      <c r="E19" s="2"/>
      <c r="F19" s="2"/>
      <c r="H19" s="2"/>
      <c r="I19" s="2">
        <v>14.7</v>
      </c>
    </row>
    <row r="20">
      <c r="B20" s="2"/>
      <c r="C20" s="2"/>
      <c r="D20" s="2"/>
      <c r="E20" s="2"/>
      <c r="F20" s="2"/>
      <c r="H20" s="2"/>
      <c r="I20" s="2">
        <v>2.6</v>
      </c>
    </row>
    <row r="21">
      <c r="B21" s="2" t="s">
        <v>22</v>
      </c>
      <c r="D21" s="2"/>
      <c r="H21" s="2"/>
      <c r="I21" s="2">
        <v>15.0</v>
      </c>
    </row>
    <row r="22">
      <c r="A22" s="5" t="s">
        <v>10</v>
      </c>
      <c r="B22" s="5"/>
      <c r="C22" s="5">
        <f t="shared" ref="C22:D22" si="3">SUM(C18:C21)</f>
        <v>340</v>
      </c>
      <c r="D22" s="5">
        <f t="shared" si="3"/>
        <v>589</v>
      </c>
      <c r="E22" s="6"/>
      <c r="I22" s="2">
        <v>17.9</v>
      </c>
    </row>
    <row r="23">
      <c r="A23" s="1" t="s">
        <v>23</v>
      </c>
      <c r="B23" s="2" t="s">
        <v>24</v>
      </c>
      <c r="C23" s="2"/>
      <c r="D23" s="2"/>
    </row>
    <row r="24">
      <c r="B24" s="2" t="s">
        <v>25</v>
      </c>
      <c r="C24" s="2"/>
      <c r="D24" s="2">
        <f>91+45</f>
        <v>136</v>
      </c>
    </row>
    <row r="25">
      <c r="B25" s="2" t="s">
        <v>26</v>
      </c>
      <c r="D25" s="2"/>
    </row>
    <row r="26">
      <c r="B26" s="2" t="s">
        <v>27</v>
      </c>
      <c r="C26" s="2"/>
      <c r="D26" s="2">
        <f>40+100</f>
        <v>140</v>
      </c>
    </row>
    <row r="27">
      <c r="B27" s="2" t="s">
        <v>28</v>
      </c>
      <c r="C27" s="2"/>
      <c r="D27" s="2"/>
    </row>
    <row r="28">
      <c r="B28" s="2" t="s">
        <v>29</v>
      </c>
      <c r="C28" s="9"/>
      <c r="D28" s="10"/>
      <c r="E28" s="10"/>
    </row>
    <row r="29">
      <c r="A29" s="5" t="s">
        <v>10</v>
      </c>
      <c r="B29" s="5"/>
      <c r="C29" s="5">
        <f t="shared" ref="C29:D29" si="4">sum(C23:C28)</f>
        <v>0</v>
      </c>
      <c r="D29" s="5">
        <f t="shared" si="4"/>
        <v>276</v>
      </c>
      <c r="E29" s="6"/>
      <c r="H29" s="2" t="s">
        <v>30</v>
      </c>
    </row>
    <row r="30">
      <c r="A30" s="11" t="s">
        <v>10</v>
      </c>
    </row>
    <row r="31">
      <c r="A31" s="11" t="s">
        <v>31</v>
      </c>
      <c r="B31" s="12"/>
      <c r="C31" s="12"/>
      <c r="D31">
        <f>C8+C17+C22+C29</f>
        <v>393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1" t="s">
        <v>32</v>
      </c>
      <c r="B32" s="13"/>
      <c r="C32" s="13"/>
      <c r="D32" s="3">
        <f>D8+D17+D22+D29</f>
        <v>1628</v>
      </c>
      <c r="E32" s="3"/>
    </row>
    <row r="33">
      <c r="A33" s="11" t="s">
        <v>33</v>
      </c>
      <c r="B33" s="13"/>
      <c r="C33" s="13"/>
      <c r="D33" s="4">
        <f>(D32-D31)/2</f>
        <v>617.5</v>
      </c>
      <c r="E33" s="13"/>
    </row>
    <row r="34">
      <c r="A34" s="14"/>
    </row>
    <row r="35">
      <c r="A35" s="2" t="s">
        <v>34</v>
      </c>
    </row>
    <row r="36">
      <c r="A36" s="1" t="s">
        <v>35</v>
      </c>
      <c r="B36" s="1" t="s">
        <v>36</v>
      </c>
      <c r="F36" s="1" t="s">
        <v>37</v>
      </c>
      <c r="G36" s="1" t="s">
        <v>36</v>
      </c>
      <c r="I36" s="15" t="s">
        <v>38</v>
      </c>
      <c r="J36" s="16">
        <f>B43-G43</f>
        <v>-214.5</v>
      </c>
    </row>
    <row r="37">
      <c r="A37" s="17" t="s">
        <v>39</v>
      </c>
      <c r="B37" s="18">
        <f>D33</f>
        <v>617.5</v>
      </c>
      <c r="F37" s="17" t="s">
        <v>40</v>
      </c>
      <c r="G37" s="16">
        <f>500</f>
        <v>500</v>
      </c>
    </row>
    <row r="38">
      <c r="A38" s="17" t="s">
        <v>41</v>
      </c>
      <c r="B38" s="17">
        <v>-396.0</v>
      </c>
      <c r="F38" s="19" t="s">
        <v>71</v>
      </c>
      <c r="G38" s="17">
        <v>25.0</v>
      </c>
      <c r="I38" s="3" t="s">
        <v>42</v>
      </c>
    </row>
    <row r="39">
      <c r="A39" s="17" t="s">
        <v>43</v>
      </c>
      <c r="B39" s="17">
        <v>115.0</v>
      </c>
      <c r="D39" s="2"/>
      <c r="E39" s="2"/>
      <c r="F39" s="17"/>
      <c r="G39" s="16">
        <v>60.0</v>
      </c>
      <c r="H39" s="2"/>
      <c r="I39" s="15" t="s">
        <v>44</v>
      </c>
      <c r="J39" s="20">
        <f>D17/2</f>
        <v>94.5</v>
      </c>
    </row>
    <row r="40">
      <c r="A40" s="17" t="s">
        <v>24</v>
      </c>
      <c r="B40" s="17"/>
      <c r="F40" s="17"/>
      <c r="G40" s="16"/>
      <c r="I40" s="15" t="s">
        <v>45</v>
      </c>
      <c r="J40" s="20">
        <f>D8/2</f>
        <v>287</v>
      </c>
    </row>
    <row r="41">
      <c r="A41" s="17" t="s">
        <v>72</v>
      </c>
      <c r="B41" s="17">
        <v>20.0</v>
      </c>
      <c r="F41" s="17"/>
      <c r="G41" s="17"/>
      <c r="I41" s="15" t="s">
        <v>46</v>
      </c>
      <c r="J41" s="20">
        <f>D22/2</f>
        <v>294.5</v>
      </c>
    </row>
    <row r="42">
      <c r="A42" s="17" t="s">
        <v>73</v>
      </c>
      <c r="B42" s="21">
        <v>14.0</v>
      </c>
      <c r="F42" s="17"/>
      <c r="G42" s="17"/>
      <c r="I42" s="15" t="s">
        <v>47</v>
      </c>
      <c r="J42" s="20">
        <f>D29/2</f>
        <v>138</v>
      </c>
    </row>
    <row r="43">
      <c r="A43" s="17" t="s">
        <v>10</v>
      </c>
      <c r="B43" s="22">
        <f>sum(B37:B42)</f>
        <v>370.5</v>
      </c>
      <c r="F43" s="17" t="s">
        <v>10</v>
      </c>
      <c r="G43" s="18">
        <f>sum(G37:G42)</f>
        <v>585</v>
      </c>
      <c r="I43" s="15" t="s">
        <v>48</v>
      </c>
      <c r="J43" s="20">
        <f>sum(J39:J42)</f>
        <v>814</v>
      </c>
    </row>
    <row r="46">
      <c r="A46" s="2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</sheetData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2"/>
    </row>
    <row r="2">
      <c r="A2" s="1" t="s">
        <v>2</v>
      </c>
      <c r="B2" s="2" t="s">
        <v>3</v>
      </c>
      <c r="C2" s="2"/>
      <c r="D2" s="3">
        <f>26+7+20+11</f>
        <v>64</v>
      </c>
      <c r="E2" s="3"/>
      <c r="G2" s="2"/>
      <c r="H2" s="2"/>
      <c r="I2" s="2"/>
      <c r="J2" s="2"/>
      <c r="K2" s="2"/>
    </row>
    <row r="3">
      <c r="A3" s="13"/>
      <c r="B3" s="3" t="s">
        <v>4</v>
      </c>
      <c r="C3" s="13"/>
      <c r="D3" s="3"/>
      <c r="E3" s="3"/>
      <c r="F3" s="13"/>
      <c r="G3" s="3"/>
      <c r="H3" s="13"/>
      <c r="I3" s="3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4.75" customHeight="1">
      <c r="B4" s="2" t="s">
        <v>5</v>
      </c>
      <c r="C4" s="2"/>
      <c r="D4" s="2">
        <f>18+16</f>
        <v>34</v>
      </c>
      <c r="E4" s="2"/>
      <c r="G4" s="2"/>
      <c r="H4" s="2"/>
      <c r="I4" s="2"/>
      <c r="J4" s="2"/>
      <c r="K4" s="2"/>
    </row>
    <row r="5">
      <c r="B5" s="2" t="s">
        <v>6</v>
      </c>
      <c r="C5" s="2"/>
      <c r="D5" s="4">
        <f>69+67+96+61+87</f>
        <v>380</v>
      </c>
      <c r="E5" s="4"/>
      <c r="G5" s="2"/>
      <c r="H5" s="2"/>
      <c r="I5" s="3"/>
      <c r="J5" s="2"/>
      <c r="K5" s="2"/>
    </row>
    <row r="6">
      <c r="A6" s="1" t="s">
        <v>7</v>
      </c>
      <c r="B6" s="2" t="s">
        <v>8</v>
      </c>
      <c r="D6" s="4"/>
      <c r="E6" s="4"/>
      <c r="G6" s="2"/>
      <c r="H6" s="2"/>
      <c r="I6" s="2">
        <v>49.96</v>
      </c>
      <c r="J6" s="2">
        <f>SUM(I6:I22)</f>
        <v>310.36</v>
      </c>
      <c r="K6" s="2"/>
    </row>
    <row r="7">
      <c r="B7" s="2" t="s">
        <v>9</v>
      </c>
      <c r="C7" s="2"/>
      <c r="D7" s="4"/>
      <c r="E7" s="4"/>
      <c r="G7" s="2"/>
      <c r="H7" s="2"/>
      <c r="I7" s="2">
        <v>29.0</v>
      </c>
      <c r="J7" s="2"/>
      <c r="K7" s="2"/>
    </row>
    <row r="8">
      <c r="B8" s="6"/>
      <c r="C8" s="5">
        <f t="shared" ref="C8:D8" si="1">SUM(C2:C7)</f>
        <v>0</v>
      </c>
      <c r="D8" s="5">
        <f t="shared" si="1"/>
        <v>478</v>
      </c>
      <c r="E8" s="5"/>
      <c r="F8" s="2"/>
      <c r="G8" s="2"/>
      <c r="H8" s="2"/>
      <c r="I8" s="2">
        <v>2.6</v>
      </c>
      <c r="J8" s="2"/>
      <c r="K8" s="2"/>
    </row>
    <row r="9">
      <c r="B9" s="2" t="s">
        <v>11</v>
      </c>
      <c r="D9" s="2"/>
      <c r="E9" s="2"/>
      <c r="G9" s="2"/>
      <c r="H9" s="2"/>
      <c r="I9" s="2">
        <v>14.7</v>
      </c>
    </row>
    <row r="10">
      <c r="B10" s="2" t="s">
        <v>12</v>
      </c>
      <c r="E10" s="2"/>
      <c r="F10" s="7"/>
      <c r="G10" s="2"/>
      <c r="H10" s="2"/>
      <c r="I10" s="2">
        <v>3.7</v>
      </c>
    </row>
    <row r="11">
      <c r="B11" s="2" t="s">
        <v>13</v>
      </c>
      <c r="D11" s="2"/>
      <c r="E11" s="2"/>
      <c r="G11" s="2"/>
      <c r="H11" s="2"/>
      <c r="I11" s="2">
        <v>2.6</v>
      </c>
    </row>
    <row r="12">
      <c r="B12" s="2" t="s">
        <v>14</v>
      </c>
      <c r="D12" s="2">
        <v>160.0</v>
      </c>
      <c r="E12" s="2"/>
      <c r="I12" s="2">
        <v>5.0</v>
      </c>
    </row>
    <row r="13">
      <c r="B13" s="2" t="s">
        <v>15</v>
      </c>
      <c r="C13" s="2">
        <v>33.0</v>
      </c>
      <c r="E13" s="2"/>
      <c r="H13" s="2"/>
      <c r="I13" s="2">
        <v>24.0</v>
      </c>
    </row>
    <row r="14">
      <c r="B14" s="2" t="s">
        <v>16</v>
      </c>
      <c r="C14" s="2"/>
      <c r="E14" s="2"/>
      <c r="H14" s="2"/>
      <c r="I14" s="2">
        <v>1.0</v>
      </c>
    </row>
    <row r="15">
      <c r="B15" s="2" t="s">
        <v>17</v>
      </c>
      <c r="E15" s="2"/>
      <c r="H15" s="2"/>
      <c r="I15" s="2">
        <v>94.6</v>
      </c>
      <c r="J15" s="23"/>
    </row>
    <row r="16">
      <c r="B16" s="2" t="s">
        <v>74</v>
      </c>
      <c r="D16" s="2">
        <v>70.0</v>
      </c>
      <c r="E16" s="2"/>
      <c r="H16" s="2"/>
      <c r="I16" s="2">
        <v>24.4</v>
      </c>
    </row>
    <row r="17">
      <c r="A17" s="5" t="s">
        <v>10</v>
      </c>
      <c r="B17" s="6"/>
      <c r="C17" s="5">
        <f t="shared" ref="C17:D17" si="2">SUM(C9:C16)</f>
        <v>33</v>
      </c>
      <c r="D17" s="5">
        <f t="shared" si="2"/>
        <v>230</v>
      </c>
      <c r="E17" s="5"/>
      <c r="H17" s="2"/>
      <c r="I17" s="2">
        <v>4.9</v>
      </c>
    </row>
    <row r="18">
      <c r="A18" s="1" t="s">
        <v>19</v>
      </c>
      <c r="B18" s="2" t="s">
        <v>20</v>
      </c>
      <c r="C18" s="2"/>
      <c r="D18" s="2"/>
      <c r="E18" s="2"/>
      <c r="H18" s="2"/>
      <c r="I18" s="2">
        <v>3.7</v>
      </c>
    </row>
    <row r="19">
      <c r="B19" s="2" t="s">
        <v>21</v>
      </c>
      <c r="C19" s="2">
        <f>54+10+11</f>
        <v>75</v>
      </c>
      <c r="D19" s="2"/>
      <c r="E19" s="2"/>
      <c r="F19" s="2"/>
      <c r="H19" s="2"/>
      <c r="I19" s="2">
        <v>14.7</v>
      </c>
    </row>
    <row r="20">
      <c r="B20" s="2"/>
      <c r="C20" s="2"/>
      <c r="D20" s="2"/>
      <c r="E20" s="2"/>
      <c r="F20" s="2"/>
      <c r="H20" s="2"/>
      <c r="I20" s="2">
        <v>2.6</v>
      </c>
    </row>
    <row r="21">
      <c r="B21" s="2" t="s">
        <v>22</v>
      </c>
      <c r="D21" s="2"/>
      <c r="H21" s="2"/>
      <c r="I21" s="2">
        <v>15.0</v>
      </c>
    </row>
    <row r="22">
      <c r="A22" s="5" t="s">
        <v>10</v>
      </c>
      <c r="B22" s="5"/>
      <c r="C22" s="5">
        <f t="shared" ref="C22:D22" si="3">SUM(C18:C21)</f>
        <v>75</v>
      </c>
      <c r="D22" s="5">
        <f t="shared" si="3"/>
        <v>0</v>
      </c>
      <c r="E22" s="6"/>
      <c r="I22" s="2">
        <v>17.9</v>
      </c>
    </row>
    <row r="23">
      <c r="A23" s="1" t="s">
        <v>23</v>
      </c>
      <c r="B23" s="2" t="s">
        <v>24</v>
      </c>
      <c r="C23" s="2"/>
      <c r="D23" s="2">
        <v>4.0</v>
      </c>
    </row>
    <row r="24">
      <c r="B24" s="2" t="s">
        <v>25</v>
      </c>
      <c r="C24" s="2"/>
      <c r="D24" s="2"/>
    </row>
    <row r="25">
      <c r="B25" s="2" t="s">
        <v>26</v>
      </c>
      <c r="D25" s="2"/>
    </row>
    <row r="26">
      <c r="B26" s="2" t="s">
        <v>27</v>
      </c>
      <c r="C26" s="2"/>
      <c r="D26" s="2">
        <v>19.0</v>
      </c>
    </row>
    <row r="27">
      <c r="B27" s="2" t="s">
        <v>28</v>
      </c>
      <c r="C27" s="2"/>
      <c r="D27" s="2">
        <f>17+20</f>
        <v>37</v>
      </c>
    </row>
    <row r="28">
      <c r="B28" s="2" t="s">
        <v>29</v>
      </c>
      <c r="C28" s="9"/>
      <c r="D28" s="10"/>
      <c r="E28" s="10"/>
    </row>
    <row r="29">
      <c r="A29" s="5" t="s">
        <v>10</v>
      </c>
      <c r="B29" s="5"/>
      <c r="C29" s="5">
        <f t="shared" ref="C29:D29" si="4">sum(C23:C28)</f>
        <v>0</v>
      </c>
      <c r="D29" s="5">
        <f t="shared" si="4"/>
        <v>60</v>
      </c>
      <c r="E29" s="6"/>
      <c r="H29" s="2" t="s">
        <v>30</v>
      </c>
    </row>
    <row r="30">
      <c r="A30" s="11" t="s">
        <v>10</v>
      </c>
    </row>
    <row r="31">
      <c r="A31" s="11" t="s">
        <v>31</v>
      </c>
      <c r="B31" s="12"/>
      <c r="C31" s="12"/>
      <c r="D31">
        <f>C8+C17+C22+C29</f>
        <v>108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1" t="s">
        <v>32</v>
      </c>
      <c r="B32" s="13"/>
      <c r="C32" s="13"/>
      <c r="D32" s="3">
        <f>D8+D17+D22+D29</f>
        <v>768</v>
      </c>
      <c r="E32" s="3"/>
    </row>
    <row r="33">
      <c r="A33" s="11" t="s">
        <v>33</v>
      </c>
      <c r="B33" s="13"/>
      <c r="C33" s="13"/>
      <c r="D33" s="4">
        <f>(D32-D31)/2</f>
        <v>330</v>
      </c>
      <c r="E33" s="13"/>
    </row>
    <row r="34">
      <c r="A34" s="14"/>
    </row>
    <row r="35">
      <c r="A35" s="2" t="s">
        <v>34</v>
      </c>
    </row>
    <row r="36">
      <c r="A36" s="1" t="s">
        <v>35</v>
      </c>
      <c r="B36" s="1" t="s">
        <v>36</v>
      </c>
      <c r="F36" s="1" t="s">
        <v>37</v>
      </c>
      <c r="G36" s="1" t="s">
        <v>36</v>
      </c>
      <c r="I36" s="15" t="s">
        <v>38</v>
      </c>
      <c r="J36" s="16">
        <f>B43-G43</f>
        <v>-824</v>
      </c>
    </row>
    <row r="37">
      <c r="A37" s="17" t="s">
        <v>39</v>
      </c>
      <c r="B37" s="18">
        <f>D33</f>
        <v>330</v>
      </c>
      <c r="F37" s="17" t="s">
        <v>40</v>
      </c>
      <c r="G37" s="16">
        <v>500.0</v>
      </c>
    </row>
    <row r="38">
      <c r="A38" s="17" t="s">
        <v>41</v>
      </c>
      <c r="B38" s="17">
        <v>-215.0</v>
      </c>
      <c r="F38" s="19"/>
      <c r="G38" s="17">
        <v>600.0</v>
      </c>
      <c r="I38" s="3" t="s">
        <v>42</v>
      </c>
    </row>
    <row r="39">
      <c r="A39" s="17" t="s">
        <v>43</v>
      </c>
      <c r="B39" s="17">
        <v>115.0</v>
      </c>
      <c r="D39" s="2"/>
      <c r="E39" s="2"/>
      <c r="F39" s="17"/>
      <c r="G39" s="16"/>
      <c r="H39" s="2"/>
      <c r="I39" s="15" t="s">
        <v>44</v>
      </c>
      <c r="J39" s="20">
        <f>D17/2</f>
        <v>115</v>
      </c>
    </row>
    <row r="40">
      <c r="A40" s="17" t="s">
        <v>24</v>
      </c>
      <c r="B40" s="17">
        <v>16.0</v>
      </c>
      <c r="F40" s="17"/>
      <c r="G40" s="16"/>
      <c r="I40" s="15" t="s">
        <v>45</v>
      </c>
      <c r="J40" s="20">
        <f>D8/2</f>
        <v>239</v>
      </c>
    </row>
    <row r="41">
      <c r="A41" s="17" t="s">
        <v>75</v>
      </c>
      <c r="B41" s="17">
        <v>30.0</v>
      </c>
      <c r="F41" s="17"/>
      <c r="G41" s="17"/>
      <c r="I41" s="15" t="s">
        <v>46</v>
      </c>
      <c r="J41" s="20">
        <f>D22/2</f>
        <v>0</v>
      </c>
    </row>
    <row r="42">
      <c r="A42" s="17"/>
      <c r="B42" s="21"/>
      <c r="F42" s="17"/>
      <c r="G42" s="17"/>
      <c r="I42" s="15" t="s">
        <v>47</v>
      </c>
      <c r="J42" s="20">
        <f>D29/2</f>
        <v>30</v>
      </c>
    </row>
    <row r="43">
      <c r="A43" s="17" t="s">
        <v>10</v>
      </c>
      <c r="B43" s="22">
        <f>sum(B37:B42)</f>
        <v>276</v>
      </c>
      <c r="F43" s="17" t="s">
        <v>10</v>
      </c>
      <c r="G43" s="18">
        <f>sum(G37:G42)</f>
        <v>1100</v>
      </c>
      <c r="I43" s="15" t="s">
        <v>48</v>
      </c>
      <c r="J43" s="20">
        <f>sum(J39:J42)</f>
        <v>384</v>
      </c>
    </row>
    <row r="46">
      <c r="A46" s="2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</sheetData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2"/>
    </row>
    <row r="2">
      <c r="A2" s="1" t="s">
        <v>2</v>
      </c>
      <c r="B2" s="2" t="s">
        <v>3</v>
      </c>
      <c r="C2" s="2"/>
      <c r="D2" s="3">
        <f>3+25+18+13+19+18+5+7</f>
        <v>108</v>
      </c>
      <c r="E2" s="3"/>
      <c r="G2" s="2"/>
      <c r="H2" s="2"/>
      <c r="I2" s="2"/>
      <c r="J2" s="2"/>
      <c r="K2" s="2"/>
    </row>
    <row r="3">
      <c r="A3" s="13"/>
      <c r="B3" s="3" t="s">
        <v>4</v>
      </c>
      <c r="C3" s="13"/>
      <c r="D3" s="3"/>
      <c r="E3" s="3"/>
      <c r="F3" s="13"/>
      <c r="G3" s="3"/>
      <c r="H3" s="13"/>
      <c r="I3" s="3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4.75" customHeight="1">
      <c r="B4" s="2" t="s">
        <v>5</v>
      </c>
      <c r="C4" s="2"/>
      <c r="D4" s="2">
        <f>29+26</f>
        <v>55</v>
      </c>
      <c r="E4" s="2"/>
      <c r="G4" s="2"/>
      <c r="H4" s="2"/>
      <c r="I4" s="2"/>
      <c r="J4" s="2"/>
      <c r="K4" s="2"/>
    </row>
    <row r="5">
      <c r="B5" s="2" t="s">
        <v>6</v>
      </c>
      <c r="C5" s="2">
        <f>37</f>
        <v>37</v>
      </c>
      <c r="D5" s="4">
        <f>77+117+95+100</f>
        <v>389</v>
      </c>
      <c r="E5" s="4"/>
      <c r="G5" s="2"/>
      <c r="H5" s="2"/>
      <c r="I5" s="3"/>
      <c r="J5" s="2"/>
      <c r="K5" s="2"/>
    </row>
    <row r="6">
      <c r="A6" s="1" t="s">
        <v>7</v>
      </c>
      <c r="B6" s="2" t="s">
        <v>8</v>
      </c>
      <c r="D6" s="4"/>
      <c r="E6" s="4"/>
      <c r="G6" s="2"/>
      <c r="H6" s="2"/>
      <c r="I6" s="2">
        <v>49.96</v>
      </c>
      <c r="J6" s="2">
        <f>SUM(I6:I22)</f>
        <v>310.36</v>
      </c>
      <c r="K6" s="2"/>
    </row>
    <row r="7">
      <c r="B7" s="2" t="s">
        <v>9</v>
      </c>
      <c r="C7" s="2"/>
      <c r="D7" s="4"/>
      <c r="E7" s="4"/>
      <c r="G7" s="2"/>
      <c r="H7" s="2"/>
      <c r="I7" s="2">
        <v>29.0</v>
      </c>
      <c r="J7" s="2"/>
      <c r="K7" s="2"/>
    </row>
    <row r="8">
      <c r="B8" s="6"/>
      <c r="C8" s="5">
        <f t="shared" ref="C8:D8" si="1">SUM(C2:C7)</f>
        <v>37</v>
      </c>
      <c r="D8" s="5">
        <f t="shared" si="1"/>
        <v>552</v>
      </c>
      <c r="E8" s="5"/>
      <c r="F8" s="2"/>
      <c r="G8" s="2"/>
      <c r="H8" s="2"/>
      <c r="I8" s="2">
        <v>2.6</v>
      </c>
      <c r="J8" s="2"/>
      <c r="K8" s="2"/>
    </row>
    <row r="9">
      <c r="B9" s="2" t="s">
        <v>11</v>
      </c>
      <c r="D9" s="2">
        <v>29.0</v>
      </c>
      <c r="E9" s="2"/>
      <c r="G9" s="2"/>
      <c r="H9" s="2"/>
      <c r="I9" s="2">
        <v>14.7</v>
      </c>
    </row>
    <row r="10">
      <c r="B10" s="2" t="s">
        <v>12</v>
      </c>
      <c r="E10" s="2"/>
      <c r="F10" s="7"/>
      <c r="G10" s="2"/>
      <c r="H10" s="2"/>
      <c r="I10" s="2">
        <v>3.7</v>
      </c>
    </row>
    <row r="11">
      <c r="B11" s="2" t="s">
        <v>13</v>
      </c>
      <c r="D11" s="2"/>
      <c r="E11" s="2"/>
      <c r="G11" s="2"/>
      <c r="H11" s="2"/>
      <c r="I11" s="2">
        <v>2.6</v>
      </c>
    </row>
    <row r="12">
      <c r="B12" s="2" t="s">
        <v>14</v>
      </c>
      <c r="D12" s="2">
        <v>160.0</v>
      </c>
      <c r="E12" s="2"/>
      <c r="I12" s="2">
        <v>5.0</v>
      </c>
    </row>
    <row r="13">
      <c r="B13" s="2" t="s">
        <v>15</v>
      </c>
      <c r="C13" s="2">
        <f>33+10</f>
        <v>43</v>
      </c>
      <c r="E13" s="2"/>
      <c r="H13" s="2"/>
      <c r="I13" s="2">
        <v>24.0</v>
      </c>
    </row>
    <row r="14">
      <c r="B14" s="2" t="s">
        <v>16</v>
      </c>
      <c r="C14" s="2"/>
      <c r="E14" s="2"/>
      <c r="H14" s="2"/>
      <c r="I14" s="2">
        <v>1.0</v>
      </c>
    </row>
    <row r="15">
      <c r="B15" s="2" t="s">
        <v>17</v>
      </c>
      <c r="E15" s="2"/>
      <c r="H15" s="2"/>
      <c r="I15" s="2">
        <v>94.6</v>
      </c>
      <c r="J15" s="23"/>
    </row>
    <row r="16">
      <c r="B16" s="2" t="s">
        <v>74</v>
      </c>
      <c r="D16" s="2"/>
      <c r="E16" s="2"/>
      <c r="H16" s="2"/>
      <c r="I16" s="2">
        <v>24.4</v>
      </c>
    </row>
    <row r="17">
      <c r="A17" s="5" t="s">
        <v>10</v>
      </c>
      <c r="B17" s="6"/>
      <c r="C17" s="5">
        <f t="shared" ref="C17:D17" si="2">SUM(C9:C16)</f>
        <v>43</v>
      </c>
      <c r="D17" s="5">
        <f t="shared" si="2"/>
        <v>189</v>
      </c>
      <c r="E17" s="5"/>
      <c r="H17" s="2"/>
      <c r="I17" s="2">
        <v>4.9</v>
      </c>
    </row>
    <row r="18">
      <c r="A18" s="1" t="s">
        <v>19</v>
      </c>
      <c r="B18" s="2" t="s">
        <v>20</v>
      </c>
      <c r="C18" s="2"/>
      <c r="D18" s="2"/>
      <c r="E18" s="2"/>
      <c r="H18" s="2"/>
      <c r="I18" s="2">
        <v>3.7</v>
      </c>
    </row>
    <row r="19">
      <c r="B19" s="2" t="s">
        <v>21</v>
      </c>
      <c r="C19" s="2"/>
      <c r="D19" s="2"/>
      <c r="E19" s="2"/>
      <c r="F19" s="2"/>
      <c r="H19" s="2"/>
      <c r="I19" s="2">
        <v>14.7</v>
      </c>
    </row>
    <row r="20">
      <c r="B20" s="2"/>
      <c r="C20" s="2"/>
      <c r="D20" s="2"/>
      <c r="E20" s="2"/>
      <c r="F20" s="2"/>
      <c r="H20" s="2"/>
      <c r="I20" s="2">
        <v>2.6</v>
      </c>
    </row>
    <row r="21">
      <c r="B21" s="2" t="s">
        <v>22</v>
      </c>
      <c r="D21" s="2"/>
      <c r="H21" s="2"/>
      <c r="I21" s="2">
        <v>15.0</v>
      </c>
    </row>
    <row r="22">
      <c r="A22" s="5" t="s">
        <v>10</v>
      </c>
      <c r="B22" s="5"/>
      <c r="C22" s="5">
        <f t="shared" ref="C22:D22" si="3">SUM(C18:C21)</f>
        <v>0</v>
      </c>
      <c r="D22" s="5">
        <f t="shared" si="3"/>
        <v>0</v>
      </c>
      <c r="E22" s="6"/>
      <c r="I22" s="2">
        <v>17.9</v>
      </c>
    </row>
    <row r="23">
      <c r="A23" s="1" t="s">
        <v>23</v>
      </c>
      <c r="B23" s="2" t="s">
        <v>24</v>
      </c>
      <c r="C23" s="2"/>
      <c r="D23" s="2">
        <v>7.0</v>
      </c>
    </row>
    <row r="24">
      <c r="B24" s="2" t="s">
        <v>25</v>
      </c>
      <c r="C24" s="2"/>
      <c r="D24" s="2">
        <v>76.0</v>
      </c>
    </row>
    <row r="25">
      <c r="B25" s="2" t="s">
        <v>26</v>
      </c>
      <c r="D25" s="2"/>
    </row>
    <row r="26">
      <c r="B26" s="2" t="s">
        <v>27</v>
      </c>
      <c r="C26" s="2"/>
      <c r="D26" s="2"/>
    </row>
    <row r="27">
      <c r="B27" s="2" t="s">
        <v>28</v>
      </c>
      <c r="C27" s="2"/>
      <c r="D27" s="2">
        <v>6.0</v>
      </c>
    </row>
    <row r="28">
      <c r="B28" s="2" t="s">
        <v>29</v>
      </c>
      <c r="C28" s="9"/>
      <c r="D28" s="10"/>
      <c r="E28" s="10"/>
    </row>
    <row r="29">
      <c r="A29" s="5" t="s">
        <v>10</v>
      </c>
      <c r="B29" s="5"/>
      <c r="C29" s="5">
        <f t="shared" ref="C29:D29" si="4">sum(C23:C28)</f>
        <v>0</v>
      </c>
      <c r="D29" s="5">
        <f t="shared" si="4"/>
        <v>89</v>
      </c>
      <c r="E29" s="6"/>
      <c r="H29" s="2" t="s">
        <v>30</v>
      </c>
    </row>
    <row r="30">
      <c r="A30" s="11" t="s">
        <v>10</v>
      </c>
    </row>
    <row r="31">
      <c r="A31" s="11" t="s">
        <v>31</v>
      </c>
      <c r="B31" s="12"/>
      <c r="C31" s="12"/>
      <c r="D31">
        <f>C8+C17+C22+C29</f>
        <v>80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1" t="s">
        <v>32</v>
      </c>
      <c r="B32" s="13"/>
      <c r="C32" s="13"/>
      <c r="D32" s="3">
        <f>D8+D17+D22+D29</f>
        <v>830</v>
      </c>
      <c r="E32" s="3"/>
    </row>
    <row r="33">
      <c r="A33" s="11" t="s">
        <v>33</v>
      </c>
      <c r="B33" s="13"/>
      <c r="C33" s="13"/>
      <c r="D33" s="4">
        <f>(D32-D31)/2</f>
        <v>375</v>
      </c>
      <c r="E33" s="13"/>
    </row>
    <row r="34">
      <c r="A34" s="14"/>
    </row>
    <row r="35">
      <c r="A35" s="2" t="s">
        <v>34</v>
      </c>
    </row>
    <row r="36">
      <c r="A36" s="1" t="s">
        <v>35</v>
      </c>
      <c r="B36" s="1" t="s">
        <v>36</v>
      </c>
      <c r="F36" s="1" t="s">
        <v>37</v>
      </c>
      <c r="G36" s="1" t="s">
        <v>36</v>
      </c>
      <c r="I36" s="15" t="s">
        <v>38</v>
      </c>
      <c r="J36" s="16">
        <f>B43-G43</f>
        <v>-215</v>
      </c>
    </row>
    <row r="37">
      <c r="A37" s="17" t="s">
        <v>39</v>
      </c>
      <c r="B37" s="18">
        <f>D33</f>
        <v>375</v>
      </c>
      <c r="F37" s="17" t="s">
        <v>40</v>
      </c>
      <c r="G37" s="16"/>
    </row>
    <row r="38">
      <c r="A38" s="17" t="s">
        <v>41</v>
      </c>
      <c r="B38" s="17">
        <v>-824.0</v>
      </c>
      <c r="F38" s="19"/>
      <c r="G38" s="17"/>
      <c r="I38" s="3" t="s">
        <v>42</v>
      </c>
    </row>
    <row r="39">
      <c r="A39" s="17" t="s">
        <v>43</v>
      </c>
      <c r="B39" s="17">
        <v>115.0</v>
      </c>
      <c r="D39" s="2"/>
      <c r="E39" s="2"/>
      <c r="F39" s="17"/>
      <c r="G39" s="16"/>
      <c r="H39" s="2"/>
      <c r="I39" s="15" t="s">
        <v>44</v>
      </c>
      <c r="J39" s="20">
        <f>D17/2</f>
        <v>94.5</v>
      </c>
    </row>
    <row r="40">
      <c r="A40" s="17" t="s">
        <v>76</v>
      </c>
      <c r="B40" s="17">
        <v>92.0</v>
      </c>
      <c r="F40" s="17"/>
      <c r="G40" s="16"/>
      <c r="I40" s="15" t="s">
        <v>45</v>
      </c>
      <c r="J40" s="20">
        <f>D8/2</f>
        <v>276</v>
      </c>
    </row>
    <row r="41">
      <c r="A41" s="17" t="s">
        <v>77</v>
      </c>
      <c r="B41" s="17">
        <f>9+18</f>
        <v>27</v>
      </c>
      <c r="F41" s="17"/>
      <c r="G41" s="17"/>
      <c r="I41" s="15" t="s">
        <v>46</v>
      </c>
      <c r="J41" s="20">
        <f>D22/2</f>
        <v>0</v>
      </c>
    </row>
    <row r="42">
      <c r="A42" s="17"/>
      <c r="B42" s="21"/>
      <c r="F42" s="17"/>
      <c r="G42" s="17"/>
      <c r="I42" s="15" t="s">
        <v>47</v>
      </c>
      <c r="J42" s="20">
        <f>D29/2</f>
        <v>44.5</v>
      </c>
    </row>
    <row r="43">
      <c r="A43" s="17" t="s">
        <v>10</v>
      </c>
      <c r="B43" s="22">
        <f>sum(B37:B42)</f>
        <v>-215</v>
      </c>
      <c r="F43" s="17" t="s">
        <v>10</v>
      </c>
      <c r="G43" s="18">
        <f>sum(G37:G42)</f>
        <v>0</v>
      </c>
      <c r="I43" s="15" t="s">
        <v>48</v>
      </c>
      <c r="J43" s="20">
        <f>sum(J39:J42)</f>
        <v>415</v>
      </c>
    </row>
    <row r="46">
      <c r="A46" s="2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</sheetData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2"/>
    </row>
    <row r="2">
      <c r="A2" s="1" t="s">
        <v>2</v>
      </c>
      <c r="B2" s="2" t="s">
        <v>3</v>
      </c>
      <c r="C2" s="2"/>
      <c r="D2" s="3">
        <f>2+22</f>
        <v>24</v>
      </c>
      <c r="E2" s="3"/>
      <c r="G2" s="2"/>
      <c r="H2" s="2"/>
      <c r="I2" s="2"/>
      <c r="J2" s="2"/>
      <c r="K2" s="2"/>
    </row>
    <row r="3">
      <c r="A3" s="13"/>
      <c r="B3" s="3" t="s">
        <v>4</v>
      </c>
      <c r="C3" s="13"/>
      <c r="D3" s="3"/>
      <c r="E3" s="3"/>
      <c r="F3" s="13"/>
      <c r="G3" s="3"/>
      <c r="H3" s="13"/>
      <c r="I3" s="3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4.75" customHeight="1">
      <c r="B4" s="2" t="s">
        <v>5</v>
      </c>
      <c r="C4" s="2"/>
      <c r="D4" s="2">
        <v>20.0</v>
      </c>
      <c r="E4" s="2"/>
      <c r="G4" s="2"/>
      <c r="H4" s="2"/>
      <c r="I4" s="2"/>
      <c r="J4" s="2"/>
      <c r="K4" s="2"/>
    </row>
    <row r="5">
      <c r="B5" s="2" t="s">
        <v>6</v>
      </c>
      <c r="C5" s="2">
        <f>42+23</f>
        <v>65</v>
      </c>
      <c r="D5" s="4">
        <f>40+84+62+75</f>
        <v>261</v>
      </c>
      <c r="E5" s="4"/>
      <c r="G5" s="2"/>
      <c r="H5" s="2"/>
      <c r="I5" s="3"/>
      <c r="J5" s="2"/>
      <c r="K5" s="2"/>
    </row>
    <row r="6">
      <c r="A6" s="1" t="s">
        <v>7</v>
      </c>
      <c r="B6" s="2" t="s">
        <v>8</v>
      </c>
      <c r="D6" s="4"/>
      <c r="E6" s="4"/>
      <c r="G6" s="2"/>
      <c r="H6" s="2"/>
      <c r="I6" s="2">
        <v>49.96</v>
      </c>
      <c r="J6" s="2">
        <f>SUM(I6:I22)</f>
        <v>310.36</v>
      </c>
      <c r="K6" s="2"/>
    </row>
    <row r="7">
      <c r="B7" s="2" t="s">
        <v>9</v>
      </c>
      <c r="C7" s="2"/>
      <c r="D7" s="4"/>
      <c r="E7" s="4"/>
      <c r="G7" s="2"/>
      <c r="H7" s="2"/>
      <c r="I7" s="2">
        <v>29.0</v>
      </c>
      <c r="J7" s="2"/>
      <c r="K7" s="2"/>
    </row>
    <row r="8">
      <c r="B8" s="6"/>
      <c r="C8" s="5">
        <f t="shared" ref="C8:D8" si="1">SUM(C2:C7)</f>
        <v>65</v>
      </c>
      <c r="D8" s="5">
        <f t="shared" si="1"/>
        <v>305</v>
      </c>
      <c r="E8" s="5"/>
      <c r="F8" s="2"/>
      <c r="G8" s="2"/>
      <c r="H8" s="2"/>
      <c r="I8" s="2">
        <v>2.6</v>
      </c>
      <c r="J8" s="2"/>
      <c r="K8" s="2"/>
    </row>
    <row r="9">
      <c r="B9" s="2" t="s">
        <v>11</v>
      </c>
      <c r="D9" s="2">
        <v>29.0</v>
      </c>
      <c r="E9" s="2"/>
      <c r="G9" s="2"/>
      <c r="H9" s="2"/>
      <c r="I9" s="2">
        <v>14.7</v>
      </c>
    </row>
    <row r="10">
      <c r="B10" s="2" t="s">
        <v>12</v>
      </c>
      <c r="E10" s="2"/>
      <c r="F10" s="7"/>
      <c r="G10" s="2"/>
      <c r="H10" s="2"/>
      <c r="I10" s="2">
        <v>3.7</v>
      </c>
    </row>
    <row r="11">
      <c r="B11" s="2" t="s">
        <v>13</v>
      </c>
      <c r="D11" s="2"/>
      <c r="E11" s="2"/>
      <c r="G11" s="2"/>
      <c r="H11" s="2"/>
      <c r="I11" s="2">
        <v>2.6</v>
      </c>
    </row>
    <row r="12">
      <c r="B12" s="2" t="s">
        <v>14</v>
      </c>
      <c r="D12" s="2">
        <v>160.0</v>
      </c>
      <c r="E12" s="2"/>
      <c r="I12" s="2">
        <v>5.0</v>
      </c>
    </row>
    <row r="13">
      <c r="B13" s="2" t="s">
        <v>15</v>
      </c>
      <c r="C13" s="2">
        <f>33+10</f>
        <v>43</v>
      </c>
      <c r="E13" s="2"/>
      <c r="H13" s="2"/>
      <c r="I13" s="2">
        <v>24.0</v>
      </c>
    </row>
    <row r="14">
      <c r="B14" s="2" t="s">
        <v>16</v>
      </c>
      <c r="C14" s="2"/>
      <c r="E14" s="2"/>
      <c r="H14" s="2"/>
      <c r="I14" s="2">
        <v>1.0</v>
      </c>
    </row>
    <row r="15">
      <c r="B15" s="2" t="s">
        <v>17</v>
      </c>
      <c r="E15" s="2"/>
      <c r="H15" s="2"/>
      <c r="I15" s="2">
        <v>94.6</v>
      </c>
      <c r="J15" s="23"/>
    </row>
    <row r="16">
      <c r="B16" s="2" t="s">
        <v>74</v>
      </c>
      <c r="D16" s="2"/>
      <c r="E16" s="2"/>
      <c r="H16" s="2"/>
      <c r="I16" s="2">
        <v>24.4</v>
      </c>
    </row>
    <row r="17">
      <c r="A17" s="5" t="s">
        <v>10</v>
      </c>
      <c r="B17" s="6"/>
      <c r="C17" s="5">
        <f t="shared" ref="C17:D17" si="2">SUM(C9:C16)</f>
        <v>43</v>
      </c>
      <c r="D17" s="5">
        <f t="shared" si="2"/>
        <v>189</v>
      </c>
      <c r="E17" s="5"/>
      <c r="H17" s="2"/>
      <c r="I17" s="2">
        <v>4.9</v>
      </c>
    </row>
    <row r="18">
      <c r="A18" s="1" t="s">
        <v>19</v>
      </c>
      <c r="B18" s="2" t="s">
        <v>20</v>
      </c>
      <c r="C18" s="2"/>
      <c r="D18" s="2"/>
      <c r="E18" s="2"/>
      <c r="H18" s="2"/>
      <c r="I18" s="2">
        <v>3.7</v>
      </c>
    </row>
    <row r="19">
      <c r="B19" s="2" t="s">
        <v>21</v>
      </c>
      <c r="C19" s="2">
        <v>51.0</v>
      </c>
      <c r="D19" s="2">
        <f>30+84+76</f>
        <v>190</v>
      </c>
      <c r="E19" s="2"/>
      <c r="F19" s="2"/>
      <c r="H19" s="2"/>
      <c r="I19" s="2">
        <v>14.7</v>
      </c>
    </row>
    <row r="20">
      <c r="B20" s="2"/>
      <c r="C20" s="2"/>
      <c r="D20" s="2"/>
      <c r="E20" s="2"/>
      <c r="F20" s="2"/>
      <c r="H20" s="2"/>
      <c r="I20" s="2">
        <v>2.6</v>
      </c>
    </row>
    <row r="21">
      <c r="B21" s="2" t="s">
        <v>22</v>
      </c>
      <c r="D21" s="2"/>
      <c r="H21" s="2"/>
      <c r="I21" s="2">
        <v>15.0</v>
      </c>
    </row>
    <row r="22">
      <c r="A22" s="5" t="s">
        <v>10</v>
      </c>
      <c r="B22" s="5"/>
      <c r="C22" s="5">
        <f t="shared" ref="C22:D22" si="3">SUM(C18:C21)</f>
        <v>51</v>
      </c>
      <c r="D22" s="5">
        <f t="shared" si="3"/>
        <v>190</v>
      </c>
      <c r="E22" s="6"/>
      <c r="I22" s="2">
        <v>17.9</v>
      </c>
    </row>
    <row r="23">
      <c r="A23" s="1" t="s">
        <v>23</v>
      </c>
      <c r="B23" s="2" t="s">
        <v>24</v>
      </c>
      <c r="C23" s="2"/>
      <c r="D23" s="2">
        <v>30.0</v>
      </c>
    </row>
    <row r="24">
      <c r="B24" s="2" t="s">
        <v>25</v>
      </c>
      <c r="C24" s="2"/>
      <c r="D24" s="2"/>
    </row>
    <row r="25">
      <c r="B25" s="2" t="s">
        <v>26</v>
      </c>
      <c r="D25" s="2"/>
    </row>
    <row r="26">
      <c r="B26" s="2" t="s">
        <v>27</v>
      </c>
      <c r="C26" s="2"/>
      <c r="D26" s="2"/>
    </row>
    <row r="27">
      <c r="B27" s="2" t="s">
        <v>28</v>
      </c>
      <c r="C27" s="2"/>
      <c r="D27" s="2"/>
    </row>
    <row r="28">
      <c r="B28" s="2" t="s">
        <v>29</v>
      </c>
      <c r="C28" s="9"/>
      <c r="D28" s="10"/>
      <c r="E28" s="10"/>
    </row>
    <row r="29">
      <c r="A29" s="5" t="s">
        <v>10</v>
      </c>
      <c r="B29" s="5"/>
      <c r="C29" s="5">
        <f t="shared" ref="C29:D29" si="4">sum(C23:C28)</f>
        <v>0</v>
      </c>
      <c r="D29" s="5">
        <f t="shared" si="4"/>
        <v>30</v>
      </c>
      <c r="E29" s="6"/>
      <c r="H29" s="2" t="s">
        <v>30</v>
      </c>
    </row>
    <row r="30">
      <c r="A30" s="11" t="s">
        <v>10</v>
      </c>
    </row>
    <row r="31">
      <c r="A31" s="11" t="s">
        <v>31</v>
      </c>
      <c r="B31" s="12"/>
      <c r="C31" s="12"/>
      <c r="D31">
        <f>C8+C17+C22+C29</f>
        <v>159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1" t="s">
        <v>32</v>
      </c>
      <c r="B32" s="13"/>
      <c r="C32" s="13"/>
      <c r="D32" s="3">
        <f>D8+D17+D22+D29</f>
        <v>714</v>
      </c>
      <c r="E32" s="3"/>
    </row>
    <row r="33">
      <c r="A33" s="11" t="s">
        <v>33</v>
      </c>
      <c r="B33" s="13"/>
      <c r="C33" s="13"/>
      <c r="D33" s="4">
        <f>(D32-D31)/2</f>
        <v>277.5</v>
      </c>
      <c r="E33" s="13"/>
    </row>
    <row r="34">
      <c r="A34" s="14"/>
    </row>
    <row r="35">
      <c r="A35" s="2" t="s">
        <v>34</v>
      </c>
    </row>
    <row r="36">
      <c r="A36" s="1" t="s">
        <v>35</v>
      </c>
      <c r="B36" s="1" t="s">
        <v>36</v>
      </c>
      <c r="F36" s="1" t="s">
        <v>37</v>
      </c>
      <c r="G36" s="1" t="s">
        <v>36</v>
      </c>
      <c r="I36" s="15" t="s">
        <v>38</v>
      </c>
      <c r="J36" s="16">
        <f>B43-G43</f>
        <v>177.5</v>
      </c>
    </row>
    <row r="37">
      <c r="A37" s="17" t="s">
        <v>39</v>
      </c>
      <c r="B37" s="18">
        <f>D33</f>
        <v>277.5</v>
      </c>
      <c r="F37" s="17" t="s">
        <v>40</v>
      </c>
      <c r="G37" s="16"/>
    </row>
    <row r="38">
      <c r="A38" s="17" t="s">
        <v>41</v>
      </c>
      <c r="B38" s="17">
        <v>-215.0</v>
      </c>
      <c r="F38" s="19"/>
      <c r="G38" s="17"/>
      <c r="I38" s="3" t="s">
        <v>42</v>
      </c>
    </row>
    <row r="39">
      <c r="A39" s="17" t="s">
        <v>43</v>
      </c>
      <c r="B39" s="17">
        <v>115.0</v>
      </c>
      <c r="D39" s="2"/>
      <c r="E39" s="2"/>
      <c r="F39" s="17"/>
      <c r="G39" s="16"/>
      <c r="H39" s="2"/>
      <c r="I39" s="15" t="s">
        <v>44</v>
      </c>
      <c r="J39" s="20">
        <f>D17/2</f>
        <v>94.5</v>
      </c>
    </row>
    <row r="40">
      <c r="A40" s="17"/>
      <c r="B40" s="17"/>
      <c r="F40" s="17"/>
      <c r="G40" s="16"/>
      <c r="I40" s="15" t="s">
        <v>45</v>
      </c>
      <c r="J40" s="20">
        <f>D8/2</f>
        <v>152.5</v>
      </c>
    </row>
    <row r="41">
      <c r="A41" s="17"/>
      <c r="B41" s="17"/>
      <c r="F41" s="17"/>
      <c r="G41" s="17"/>
      <c r="I41" s="15" t="s">
        <v>46</v>
      </c>
      <c r="J41" s="20">
        <f>D22/2</f>
        <v>95</v>
      </c>
    </row>
    <row r="42">
      <c r="A42" s="17"/>
      <c r="B42" s="21"/>
      <c r="F42" s="17"/>
      <c r="G42" s="17"/>
      <c r="I42" s="15" t="s">
        <v>47</v>
      </c>
      <c r="J42" s="20">
        <f>D29/2</f>
        <v>15</v>
      </c>
    </row>
    <row r="43">
      <c r="A43" s="17" t="s">
        <v>10</v>
      </c>
      <c r="B43" s="22">
        <f>sum(B37:B42)</f>
        <v>177.5</v>
      </c>
      <c r="F43" s="17" t="s">
        <v>10</v>
      </c>
      <c r="G43" s="18">
        <f>sum(G37:G42)</f>
        <v>0</v>
      </c>
      <c r="I43" s="15" t="s">
        <v>48</v>
      </c>
      <c r="J43" s="20">
        <f>sum(J39:J42)</f>
        <v>357</v>
      </c>
    </row>
    <row r="46">
      <c r="A46" s="2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</sheetData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2"/>
    </row>
    <row r="2">
      <c r="A2" s="1" t="s">
        <v>2</v>
      </c>
      <c r="B2" s="2" t="s">
        <v>3</v>
      </c>
      <c r="C2" s="2"/>
      <c r="D2" s="3">
        <f>9+4+2+4+5+4+4</f>
        <v>32</v>
      </c>
      <c r="E2" s="3"/>
      <c r="G2" s="2"/>
      <c r="H2" s="2"/>
      <c r="I2" s="2"/>
      <c r="J2" s="2"/>
      <c r="K2" s="2"/>
    </row>
    <row r="3">
      <c r="A3" s="13"/>
      <c r="B3" s="3" t="s">
        <v>4</v>
      </c>
      <c r="C3" s="13"/>
      <c r="D3" s="3"/>
      <c r="E3" s="3"/>
      <c r="F3" s="13"/>
      <c r="G3" s="3"/>
      <c r="H3" s="13"/>
      <c r="I3" s="3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4.75" customHeight="1">
      <c r="B4" s="2" t="s">
        <v>5</v>
      </c>
      <c r="C4" s="2">
        <v>15.0</v>
      </c>
      <c r="D4" s="2"/>
      <c r="E4" s="2"/>
      <c r="G4" s="2"/>
      <c r="H4" s="2"/>
      <c r="I4" s="2"/>
      <c r="J4" s="2"/>
      <c r="K4" s="2"/>
    </row>
    <row r="5">
      <c r="B5" s="2" t="s">
        <v>6</v>
      </c>
      <c r="C5" s="2">
        <f>33+33+24</f>
        <v>90</v>
      </c>
      <c r="D5" s="4">
        <f>125+81+53+23+64</f>
        <v>346</v>
      </c>
      <c r="E5" s="4"/>
      <c r="G5" s="2"/>
      <c r="H5" s="2"/>
      <c r="I5" s="3"/>
      <c r="J5" s="2"/>
      <c r="K5" s="2"/>
    </row>
    <row r="6">
      <c r="B6" s="2"/>
      <c r="C6" s="2"/>
      <c r="D6" s="4"/>
      <c r="E6" s="4"/>
      <c r="G6" s="2"/>
      <c r="H6" s="2"/>
      <c r="I6" s="3"/>
      <c r="J6" s="2"/>
      <c r="K6" s="2"/>
    </row>
    <row r="7">
      <c r="A7" s="1" t="s">
        <v>7</v>
      </c>
      <c r="B7" s="2" t="s">
        <v>8</v>
      </c>
      <c r="D7" s="4"/>
      <c r="E7" s="4"/>
      <c r="G7" s="2"/>
      <c r="H7" s="2"/>
      <c r="I7" s="2">
        <v>49.96</v>
      </c>
      <c r="J7" s="2">
        <f>SUM(I7:I23)</f>
        <v>310.36</v>
      </c>
      <c r="K7" s="2"/>
    </row>
    <row r="8">
      <c r="B8" s="2" t="s">
        <v>9</v>
      </c>
      <c r="C8" s="2"/>
      <c r="D8" s="4"/>
      <c r="E8" s="4"/>
      <c r="G8" s="2"/>
      <c r="H8" s="2"/>
      <c r="I8" s="2">
        <v>29.0</v>
      </c>
      <c r="J8" s="2"/>
      <c r="K8" s="2"/>
    </row>
    <row r="9">
      <c r="B9" s="6"/>
      <c r="C9" s="5">
        <f t="shared" ref="C9:D9" si="1">SUM(C2:C8)</f>
        <v>105</v>
      </c>
      <c r="D9" s="5">
        <f t="shared" si="1"/>
        <v>378</v>
      </c>
      <c r="E9" s="5"/>
      <c r="F9" s="2"/>
      <c r="G9" s="2"/>
      <c r="H9" s="2"/>
      <c r="I9" s="2">
        <v>2.6</v>
      </c>
      <c r="J9" s="2"/>
      <c r="K9" s="2"/>
    </row>
    <row r="10">
      <c r="B10" s="2" t="s">
        <v>11</v>
      </c>
      <c r="D10" s="2">
        <v>29.0</v>
      </c>
      <c r="E10" s="2"/>
      <c r="G10" s="2"/>
      <c r="H10" s="2"/>
      <c r="I10" s="2">
        <v>14.7</v>
      </c>
    </row>
    <row r="11">
      <c r="B11" s="2" t="s">
        <v>12</v>
      </c>
      <c r="E11" s="2"/>
      <c r="F11" s="7"/>
      <c r="G11" s="2"/>
      <c r="H11" s="2"/>
      <c r="I11" s="2">
        <v>3.7</v>
      </c>
    </row>
    <row r="12">
      <c r="B12" s="2" t="s">
        <v>13</v>
      </c>
      <c r="D12" s="2"/>
      <c r="E12" s="2"/>
      <c r="G12" s="2"/>
      <c r="H12" s="2"/>
      <c r="I12" s="2">
        <v>2.6</v>
      </c>
    </row>
    <row r="13">
      <c r="B13" s="2" t="s">
        <v>14</v>
      </c>
      <c r="D13" s="2">
        <v>160.0</v>
      </c>
      <c r="E13" s="2"/>
      <c r="I13" s="2">
        <v>5.0</v>
      </c>
    </row>
    <row r="14">
      <c r="B14" s="2" t="s">
        <v>15</v>
      </c>
      <c r="C14" s="2">
        <f>33+10</f>
        <v>43</v>
      </c>
      <c r="E14" s="2"/>
      <c r="H14" s="2"/>
      <c r="I14" s="2">
        <v>24.0</v>
      </c>
    </row>
    <row r="15">
      <c r="B15" s="2" t="s">
        <v>16</v>
      </c>
      <c r="C15" s="2">
        <f>1960</f>
        <v>1960</v>
      </c>
      <c r="E15" s="2"/>
      <c r="H15" s="2"/>
      <c r="I15" s="2">
        <v>1.0</v>
      </c>
    </row>
    <row r="16">
      <c r="B16" s="2" t="s">
        <v>17</v>
      </c>
      <c r="E16" s="2"/>
      <c r="H16" s="2"/>
      <c r="I16" s="2">
        <v>94.6</v>
      </c>
      <c r="J16" s="23"/>
    </row>
    <row r="17">
      <c r="B17" s="2" t="s">
        <v>74</v>
      </c>
      <c r="D17" s="2"/>
      <c r="E17" s="2"/>
      <c r="H17" s="2"/>
      <c r="I17" s="2">
        <v>24.4</v>
      </c>
    </row>
    <row r="18">
      <c r="A18" s="5" t="s">
        <v>10</v>
      </c>
      <c r="B18" s="6"/>
      <c r="C18" s="5">
        <f t="shared" ref="C18:D18" si="2">SUM(C10:C17)</f>
        <v>2003</v>
      </c>
      <c r="D18" s="5">
        <f t="shared" si="2"/>
        <v>189</v>
      </c>
      <c r="E18" s="5"/>
      <c r="H18" s="2"/>
      <c r="I18" s="2">
        <v>4.9</v>
      </c>
    </row>
    <row r="19">
      <c r="A19" s="1" t="s">
        <v>19</v>
      </c>
      <c r="B19" s="2" t="s">
        <v>20</v>
      </c>
      <c r="C19" s="2">
        <v>156.0</v>
      </c>
      <c r="D19" s="2">
        <f>50+11+19+8</f>
        <v>88</v>
      </c>
      <c r="E19" s="2"/>
      <c r="H19" s="2"/>
      <c r="I19" s="2">
        <v>3.7</v>
      </c>
    </row>
    <row r="20">
      <c r="B20" s="2" t="s">
        <v>21</v>
      </c>
      <c r="C20" s="2">
        <f>115+90+8+8+79+97+213</f>
        <v>610</v>
      </c>
      <c r="D20" s="2">
        <f>84+295</f>
        <v>379</v>
      </c>
      <c r="E20" s="2"/>
      <c r="F20" s="2"/>
      <c r="H20" s="2"/>
      <c r="I20" s="2">
        <v>14.7</v>
      </c>
    </row>
    <row r="21">
      <c r="B21" s="2"/>
      <c r="C21" s="2"/>
      <c r="D21" s="2"/>
      <c r="E21" s="2"/>
      <c r="F21" s="2"/>
      <c r="H21" s="2"/>
      <c r="I21" s="2">
        <v>2.6</v>
      </c>
    </row>
    <row r="22">
      <c r="B22" s="2" t="s">
        <v>22</v>
      </c>
      <c r="D22" s="2"/>
      <c r="H22" s="2"/>
      <c r="I22" s="2">
        <v>15.0</v>
      </c>
    </row>
    <row r="23">
      <c r="A23" s="5" t="s">
        <v>10</v>
      </c>
      <c r="B23" s="5"/>
      <c r="C23" s="5">
        <f t="shared" ref="C23:D23" si="3">SUM(C19:C22)</f>
        <v>766</v>
      </c>
      <c r="D23" s="5">
        <f t="shared" si="3"/>
        <v>467</v>
      </c>
      <c r="E23" s="6"/>
      <c r="I23" s="2">
        <v>17.9</v>
      </c>
    </row>
    <row r="24">
      <c r="A24" s="1" t="s">
        <v>23</v>
      </c>
      <c r="B24" s="2" t="s">
        <v>24</v>
      </c>
      <c r="C24" s="2"/>
      <c r="D24" s="2"/>
    </row>
    <row r="25">
      <c r="B25" s="2" t="s">
        <v>25</v>
      </c>
      <c r="C25" s="2"/>
      <c r="D25" s="2"/>
    </row>
    <row r="26">
      <c r="B26" s="2" t="s">
        <v>26</v>
      </c>
      <c r="D26" s="2"/>
    </row>
    <row r="27">
      <c r="B27" s="2" t="s">
        <v>27</v>
      </c>
      <c r="C27" s="2"/>
      <c r="D27" s="2"/>
    </row>
    <row r="28">
      <c r="B28" s="2" t="s">
        <v>28</v>
      </c>
      <c r="C28" s="2"/>
      <c r="D28" s="2">
        <v>57.0</v>
      </c>
    </row>
    <row r="29">
      <c r="B29" s="2" t="s">
        <v>29</v>
      </c>
      <c r="C29" s="9"/>
      <c r="D29" s="10"/>
      <c r="E29" s="10"/>
    </row>
    <row r="30">
      <c r="A30" s="5" t="s">
        <v>10</v>
      </c>
      <c r="B30" s="5"/>
      <c r="C30" s="5">
        <f t="shared" ref="C30:D30" si="4">sum(C24:C29)</f>
        <v>0</v>
      </c>
      <c r="D30" s="5">
        <f t="shared" si="4"/>
        <v>57</v>
      </c>
      <c r="E30" s="6"/>
      <c r="H30" s="2" t="s">
        <v>30</v>
      </c>
    </row>
    <row r="31">
      <c r="A31" s="11" t="s">
        <v>10</v>
      </c>
    </row>
    <row r="32">
      <c r="A32" s="11" t="s">
        <v>31</v>
      </c>
      <c r="B32" s="12"/>
      <c r="C32" s="12"/>
      <c r="D32">
        <f>C9+C18+C23+C30</f>
        <v>2874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1" t="s">
        <v>32</v>
      </c>
      <c r="B33" s="13"/>
      <c r="C33" s="13"/>
      <c r="D33" s="3">
        <f>D9+D18+D23+D30</f>
        <v>1091</v>
      </c>
      <c r="E33" s="3"/>
    </row>
    <row r="34">
      <c r="A34" s="11" t="s">
        <v>33</v>
      </c>
      <c r="B34" s="13"/>
      <c r="C34" s="13"/>
      <c r="D34" s="4">
        <f>(D33-D32)/2</f>
        <v>-891.5</v>
      </c>
      <c r="E34" s="13"/>
    </row>
    <row r="35">
      <c r="A35" s="14"/>
    </row>
    <row r="36">
      <c r="A36" s="2" t="s">
        <v>34</v>
      </c>
    </row>
    <row r="37">
      <c r="A37" s="1" t="s">
        <v>35</v>
      </c>
      <c r="B37" s="1" t="s">
        <v>36</v>
      </c>
      <c r="F37" s="1" t="s">
        <v>37</v>
      </c>
      <c r="G37" s="1" t="s">
        <v>36</v>
      </c>
      <c r="I37" s="15" t="s">
        <v>38</v>
      </c>
      <c r="J37" s="16">
        <f>B44-G44</f>
        <v>-674.5</v>
      </c>
    </row>
    <row r="38">
      <c r="A38" s="17" t="s">
        <v>39</v>
      </c>
      <c r="B38" s="18">
        <f>D34</f>
        <v>-891.5</v>
      </c>
      <c r="F38" s="17" t="s">
        <v>40</v>
      </c>
      <c r="G38" s="16"/>
    </row>
    <row r="39">
      <c r="A39" s="17" t="s">
        <v>41</v>
      </c>
      <c r="B39" s="17">
        <v>178.0</v>
      </c>
      <c r="F39" s="19" t="s">
        <v>52</v>
      </c>
      <c r="G39" s="17">
        <v>16.0</v>
      </c>
      <c r="I39" s="3" t="s">
        <v>42</v>
      </c>
    </row>
    <row r="40">
      <c r="A40" s="17" t="s">
        <v>43</v>
      </c>
      <c r="B40" s="17">
        <v>115.0</v>
      </c>
      <c r="D40" s="2"/>
      <c r="E40" s="2"/>
      <c r="F40" s="17"/>
      <c r="G40" s="16">
        <v>60.0</v>
      </c>
      <c r="H40" s="2"/>
      <c r="I40" s="15" t="s">
        <v>44</v>
      </c>
      <c r="J40" s="20">
        <f>D18/2</f>
        <v>94.5</v>
      </c>
    </row>
    <row r="41">
      <c r="A41" s="17"/>
      <c r="B41" s="17"/>
      <c r="F41" s="17"/>
      <c r="G41" s="16"/>
      <c r="I41" s="15" t="s">
        <v>45</v>
      </c>
      <c r="J41" s="20">
        <f>D9/2</f>
        <v>189</v>
      </c>
    </row>
    <row r="42">
      <c r="A42" s="17"/>
      <c r="B42" s="17"/>
      <c r="F42" s="17"/>
      <c r="G42" s="17"/>
      <c r="I42" s="15" t="s">
        <v>46</v>
      </c>
      <c r="J42" s="20">
        <f>D23/2</f>
        <v>233.5</v>
      </c>
    </row>
    <row r="43">
      <c r="A43" s="17"/>
      <c r="B43" s="21"/>
      <c r="F43" s="17"/>
      <c r="G43" s="17"/>
      <c r="I43" s="15" t="s">
        <v>47</v>
      </c>
      <c r="J43" s="20">
        <f>D30/2</f>
        <v>28.5</v>
      </c>
    </row>
    <row r="44">
      <c r="A44" s="17" t="s">
        <v>10</v>
      </c>
      <c r="B44" s="22">
        <f>sum(B38:B43)</f>
        <v>-598.5</v>
      </c>
      <c r="F44" s="17" t="s">
        <v>10</v>
      </c>
      <c r="G44" s="18">
        <f>sum(G38:G43)</f>
        <v>76</v>
      </c>
      <c r="I44" s="15" t="s">
        <v>48</v>
      </c>
      <c r="J44" s="20">
        <f>sum(J40:J43)</f>
        <v>545.5</v>
      </c>
    </row>
    <row r="47">
      <c r="A47" s="2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</sheetData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2"/>
    </row>
    <row r="2">
      <c r="A2" s="1" t="s">
        <v>2</v>
      </c>
      <c r="B2" s="2" t="s">
        <v>3</v>
      </c>
      <c r="C2" s="2"/>
      <c r="D2" s="3">
        <f>6+2</f>
        <v>8</v>
      </c>
      <c r="E2" s="3"/>
      <c r="G2" s="2"/>
      <c r="H2" s="2"/>
      <c r="I2" s="2"/>
      <c r="J2" s="2"/>
      <c r="K2" s="2"/>
    </row>
    <row r="3">
      <c r="A3" s="13"/>
      <c r="B3" s="3" t="s">
        <v>4</v>
      </c>
      <c r="C3" s="13"/>
      <c r="D3" s="3"/>
      <c r="E3" s="3"/>
      <c r="F3" s="13"/>
      <c r="G3" s="3"/>
      <c r="H3" s="13"/>
      <c r="I3" s="3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4.75" customHeight="1">
      <c r="B4" s="2" t="s">
        <v>5</v>
      </c>
      <c r="C4" s="2"/>
      <c r="D4" s="2">
        <f>15+23+27</f>
        <v>65</v>
      </c>
      <c r="E4" s="2"/>
      <c r="G4" s="2"/>
      <c r="H4" s="2"/>
      <c r="I4" s="2"/>
      <c r="J4" s="2"/>
      <c r="K4" s="2"/>
    </row>
    <row r="5">
      <c r="B5" s="2" t="s">
        <v>6</v>
      </c>
      <c r="C5" s="2">
        <f>31+26+19+22</f>
        <v>98</v>
      </c>
      <c r="D5" s="4">
        <f>7+84+67+45</f>
        <v>203</v>
      </c>
      <c r="E5" s="4"/>
      <c r="G5" s="2"/>
      <c r="H5" s="2"/>
      <c r="I5" s="3"/>
      <c r="J5" s="2"/>
      <c r="K5" s="2"/>
    </row>
    <row r="6">
      <c r="B6" s="2"/>
      <c r="C6" s="2"/>
      <c r="D6" s="4"/>
      <c r="E6" s="4"/>
      <c r="G6" s="2"/>
      <c r="H6" s="2"/>
      <c r="I6" s="3"/>
      <c r="J6" s="2"/>
      <c r="K6" s="2"/>
    </row>
    <row r="7">
      <c r="A7" s="1" t="s">
        <v>7</v>
      </c>
      <c r="B7" s="2" t="s">
        <v>8</v>
      </c>
      <c r="D7" s="4"/>
      <c r="E7" s="4"/>
      <c r="G7" s="2"/>
      <c r="H7" s="2"/>
      <c r="I7" s="2">
        <v>49.96</v>
      </c>
      <c r="J7" s="2">
        <f>SUM(I7:I23)</f>
        <v>310.36</v>
      </c>
      <c r="K7" s="2"/>
    </row>
    <row r="8">
      <c r="B8" s="2" t="s">
        <v>9</v>
      </c>
      <c r="C8" s="2"/>
      <c r="D8" s="4"/>
      <c r="E8" s="4"/>
      <c r="G8" s="2"/>
      <c r="H8" s="2"/>
      <c r="I8" s="2">
        <v>29.0</v>
      </c>
      <c r="J8" s="2"/>
      <c r="K8" s="2"/>
    </row>
    <row r="9">
      <c r="B9" s="6"/>
      <c r="C9" s="5">
        <f t="shared" ref="C9:D9" si="1">SUM(C2:C8)</f>
        <v>98</v>
      </c>
      <c r="D9" s="5">
        <f t="shared" si="1"/>
        <v>276</v>
      </c>
      <c r="E9" s="5"/>
      <c r="F9" s="2"/>
      <c r="G9" s="2"/>
      <c r="H9" s="2"/>
      <c r="I9" s="2">
        <v>2.6</v>
      </c>
      <c r="J9" s="2"/>
      <c r="K9" s="2"/>
    </row>
    <row r="10">
      <c r="B10" s="2" t="s">
        <v>11</v>
      </c>
      <c r="D10" s="2">
        <v>29.0</v>
      </c>
      <c r="E10" s="2"/>
      <c r="G10" s="2"/>
      <c r="H10" s="2"/>
      <c r="I10" s="2">
        <v>14.7</v>
      </c>
    </row>
    <row r="11">
      <c r="B11" s="2" t="s">
        <v>12</v>
      </c>
      <c r="E11" s="2"/>
      <c r="F11" s="7"/>
      <c r="G11" s="2"/>
      <c r="H11" s="2"/>
      <c r="I11" s="2">
        <v>3.7</v>
      </c>
    </row>
    <row r="12">
      <c r="B12" s="2" t="s">
        <v>13</v>
      </c>
      <c r="D12" s="2"/>
      <c r="E12" s="2"/>
      <c r="G12" s="2"/>
      <c r="H12" s="2"/>
      <c r="I12" s="2">
        <v>2.6</v>
      </c>
    </row>
    <row r="13">
      <c r="B13" s="2" t="s">
        <v>14</v>
      </c>
      <c r="D13" s="2">
        <v>160.0</v>
      </c>
      <c r="E13" s="2"/>
      <c r="I13" s="2">
        <v>5.0</v>
      </c>
    </row>
    <row r="14">
      <c r="B14" s="2" t="s">
        <v>15</v>
      </c>
      <c r="C14" s="2">
        <f>33+10</f>
        <v>43</v>
      </c>
      <c r="E14" s="2"/>
      <c r="H14" s="2"/>
      <c r="I14" s="2">
        <v>24.0</v>
      </c>
    </row>
    <row r="15">
      <c r="B15" s="2" t="s">
        <v>16</v>
      </c>
      <c r="C15" s="2"/>
      <c r="E15" s="2"/>
      <c r="H15" s="2"/>
      <c r="I15" s="2">
        <v>1.0</v>
      </c>
    </row>
    <row r="16">
      <c r="B16" s="2" t="s">
        <v>17</v>
      </c>
      <c r="E16" s="2"/>
      <c r="H16" s="2"/>
      <c r="I16" s="2">
        <v>94.6</v>
      </c>
      <c r="J16" s="23"/>
    </row>
    <row r="17">
      <c r="B17" s="2" t="s">
        <v>74</v>
      </c>
      <c r="D17" s="2"/>
      <c r="E17" s="2"/>
      <c r="H17" s="2"/>
      <c r="I17" s="2">
        <v>24.4</v>
      </c>
    </row>
    <row r="18">
      <c r="A18" s="5" t="s">
        <v>10</v>
      </c>
      <c r="B18" s="6"/>
      <c r="C18" s="5">
        <f t="shared" ref="C18:D18" si="2">SUM(C10:C17)</f>
        <v>43</v>
      </c>
      <c r="D18" s="5">
        <f t="shared" si="2"/>
        <v>189</v>
      </c>
      <c r="E18" s="5"/>
      <c r="H18" s="2"/>
      <c r="I18" s="2">
        <v>4.9</v>
      </c>
    </row>
    <row r="19">
      <c r="A19" s="1" t="s">
        <v>19</v>
      </c>
      <c r="B19" s="2" t="s">
        <v>20</v>
      </c>
      <c r="C19" s="2"/>
      <c r="D19" s="2"/>
      <c r="E19" s="2"/>
      <c r="H19" s="2"/>
      <c r="I19" s="2">
        <v>3.7</v>
      </c>
    </row>
    <row r="20">
      <c r="B20" s="2" t="s">
        <v>21</v>
      </c>
      <c r="C20" s="2"/>
      <c r="D20" s="2"/>
      <c r="E20" s="2"/>
      <c r="F20" s="2"/>
      <c r="H20" s="2"/>
      <c r="I20" s="2">
        <v>14.7</v>
      </c>
    </row>
    <row r="21">
      <c r="B21" s="2"/>
      <c r="C21" s="2"/>
      <c r="D21" s="2"/>
      <c r="E21" s="2"/>
      <c r="F21" s="2"/>
      <c r="H21" s="2"/>
      <c r="I21" s="2">
        <v>2.6</v>
      </c>
    </row>
    <row r="22">
      <c r="B22" s="2" t="s">
        <v>22</v>
      </c>
      <c r="D22" s="2"/>
      <c r="H22" s="2"/>
      <c r="I22" s="2">
        <v>15.0</v>
      </c>
    </row>
    <row r="23">
      <c r="A23" s="5" t="s">
        <v>10</v>
      </c>
      <c r="B23" s="5"/>
      <c r="C23" s="5">
        <f t="shared" ref="C23:D23" si="3">SUM(C19:C22)</f>
        <v>0</v>
      </c>
      <c r="D23" s="5">
        <f t="shared" si="3"/>
        <v>0</v>
      </c>
      <c r="E23" s="6"/>
      <c r="I23" s="2">
        <v>17.9</v>
      </c>
    </row>
    <row r="24">
      <c r="A24" s="1" t="s">
        <v>23</v>
      </c>
      <c r="B24" s="2" t="s">
        <v>24</v>
      </c>
      <c r="C24" s="2"/>
      <c r="D24" s="2"/>
    </row>
    <row r="25">
      <c r="B25" s="2" t="s">
        <v>25</v>
      </c>
      <c r="C25" s="2">
        <f>122</f>
        <v>122</v>
      </c>
      <c r="D25" s="2"/>
    </row>
    <row r="26">
      <c r="B26" s="2" t="s">
        <v>26</v>
      </c>
      <c r="D26" s="2"/>
    </row>
    <row r="27">
      <c r="B27" s="2" t="s">
        <v>27</v>
      </c>
      <c r="C27" s="2"/>
      <c r="D27" s="2">
        <v>58.0</v>
      </c>
    </row>
    <row r="28">
      <c r="B28" s="2" t="s">
        <v>28</v>
      </c>
      <c r="C28" s="2"/>
      <c r="D28" s="2"/>
    </row>
    <row r="29">
      <c r="B29" s="2" t="s">
        <v>29</v>
      </c>
      <c r="C29" s="9"/>
      <c r="D29" s="10"/>
      <c r="E29" s="10"/>
    </row>
    <row r="30">
      <c r="A30" s="5" t="s">
        <v>10</v>
      </c>
      <c r="B30" s="5"/>
      <c r="C30" s="5">
        <f t="shared" ref="C30:D30" si="4">sum(C24:C29)</f>
        <v>122</v>
      </c>
      <c r="D30" s="5">
        <f t="shared" si="4"/>
        <v>58</v>
      </c>
      <c r="E30" s="6"/>
      <c r="H30" s="2" t="s">
        <v>30</v>
      </c>
    </row>
    <row r="31">
      <c r="A31" s="11" t="s">
        <v>10</v>
      </c>
    </row>
    <row r="32">
      <c r="A32" s="11" t="s">
        <v>31</v>
      </c>
      <c r="B32" s="12"/>
      <c r="C32" s="12"/>
      <c r="D32">
        <f>C9+C18+C23+C30</f>
        <v>263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1" t="s">
        <v>32</v>
      </c>
      <c r="B33" s="13"/>
      <c r="C33" s="13"/>
      <c r="D33" s="3">
        <f>D9+D18+D23+D30</f>
        <v>523</v>
      </c>
      <c r="E33" s="3"/>
    </row>
    <row r="34">
      <c r="A34" s="11" t="s">
        <v>33</v>
      </c>
      <c r="B34" s="13"/>
      <c r="C34" s="13"/>
      <c r="D34" s="4">
        <f>(D33-D32)/2</f>
        <v>130</v>
      </c>
      <c r="E34" s="13"/>
    </row>
    <row r="35">
      <c r="A35" s="14"/>
    </row>
    <row r="36">
      <c r="A36" s="2" t="s">
        <v>34</v>
      </c>
    </row>
    <row r="37">
      <c r="A37" s="1" t="s">
        <v>35</v>
      </c>
      <c r="B37" s="1" t="s">
        <v>36</v>
      </c>
      <c r="F37" s="1" t="s">
        <v>37</v>
      </c>
      <c r="G37" s="1" t="s">
        <v>36</v>
      </c>
      <c r="I37" s="15" t="s">
        <v>38</v>
      </c>
      <c r="J37" s="16">
        <f>B44-G44</f>
        <v>-424</v>
      </c>
    </row>
    <row r="38">
      <c r="A38" s="17" t="s">
        <v>39</v>
      </c>
      <c r="B38" s="18">
        <f>D34</f>
        <v>130</v>
      </c>
      <c r="F38" s="17" t="s">
        <v>40</v>
      </c>
      <c r="G38" s="16"/>
    </row>
    <row r="39">
      <c r="A39" s="17" t="s">
        <v>41</v>
      </c>
      <c r="B39" s="17">
        <v>-675.0</v>
      </c>
      <c r="F39" s="19" t="s">
        <v>52</v>
      </c>
      <c r="G39" s="17"/>
      <c r="I39" s="3" t="s">
        <v>42</v>
      </c>
    </row>
    <row r="40">
      <c r="A40" s="17" t="s">
        <v>43</v>
      </c>
      <c r="B40" s="17">
        <v>115.0</v>
      </c>
      <c r="D40" s="2"/>
      <c r="E40" s="2"/>
      <c r="F40" s="17"/>
      <c r="G40" s="16"/>
      <c r="H40" s="2"/>
      <c r="I40" s="15" t="s">
        <v>44</v>
      </c>
      <c r="J40" s="20">
        <f>D18/2</f>
        <v>94.5</v>
      </c>
    </row>
    <row r="41">
      <c r="A41" s="17" t="s">
        <v>78</v>
      </c>
      <c r="B41" s="17">
        <v>6.0</v>
      </c>
      <c r="F41" s="17"/>
      <c r="G41" s="16"/>
      <c r="I41" s="15" t="s">
        <v>45</v>
      </c>
      <c r="J41" s="20">
        <f>D9/2</f>
        <v>138</v>
      </c>
    </row>
    <row r="42">
      <c r="A42" s="17"/>
      <c r="B42" s="17"/>
      <c r="F42" s="17"/>
      <c r="G42" s="17"/>
      <c r="I42" s="15" t="s">
        <v>46</v>
      </c>
      <c r="J42" s="20">
        <f>D23/2</f>
        <v>0</v>
      </c>
    </row>
    <row r="43">
      <c r="A43" s="17"/>
      <c r="B43" s="21"/>
      <c r="F43" s="17"/>
      <c r="G43" s="17"/>
      <c r="I43" s="15" t="s">
        <v>47</v>
      </c>
      <c r="J43" s="20">
        <f>D30/2</f>
        <v>29</v>
      </c>
    </row>
    <row r="44">
      <c r="A44" s="17" t="s">
        <v>10</v>
      </c>
      <c r="B44" s="22">
        <f>sum(B38:B43)</f>
        <v>-424</v>
      </c>
      <c r="F44" s="17" t="s">
        <v>10</v>
      </c>
      <c r="G44" s="18">
        <f>sum(G38:G43)</f>
        <v>0</v>
      </c>
      <c r="I44" s="15" t="s">
        <v>48</v>
      </c>
      <c r="J44" s="20">
        <f>sum(J40:J43)</f>
        <v>261.5</v>
      </c>
    </row>
    <row r="47">
      <c r="A47" s="2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</sheetData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2"/>
    </row>
    <row r="2">
      <c r="A2" s="1" t="s">
        <v>2</v>
      </c>
      <c r="B2" s="2" t="s">
        <v>3</v>
      </c>
      <c r="C2" s="2"/>
      <c r="D2" s="3">
        <f>7+2+5+3+13+7</f>
        <v>37</v>
      </c>
      <c r="E2" s="3"/>
      <c r="G2" s="2"/>
      <c r="H2" s="2"/>
      <c r="I2" s="2"/>
      <c r="J2" s="2"/>
      <c r="K2" s="2"/>
    </row>
    <row r="3">
      <c r="A3" s="13"/>
      <c r="B3" s="3" t="s">
        <v>4</v>
      </c>
      <c r="C3" s="13"/>
      <c r="D3" s="3"/>
      <c r="E3" s="3"/>
      <c r="F3" s="13"/>
      <c r="G3" s="3"/>
      <c r="H3" s="13"/>
      <c r="I3" s="3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4.75" customHeight="1">
      <c r="B4" s="2" t="s">
        <v>5</v>
      </c>
      <c r="C4" s="2"/>
      <c r="D4" s="2">
        <f>14+37+23</f>
        <v>74</v>
      </c>
      <c r="E4" s="2"/>
      <c r="G4" s="2"/>
      <c r="H4" s="2"/>
      <c r="I4" s="2"/>
      <c r="J4" s="2"/>
      <c r="K4" s="2"/>
    </row>
    <row r="5">
      <c r="B5" s="2" t="s">
        <v>6</v>
      </c>
      <c r="C5" s="2">
        <f>22+21+24+21</f>
        <v>88</v>
      </c>
      <c r="D5" s="4">
        <f>67+66+61+73+52+49</f>
        <v>368</v>
      </c>
      <c r="E5" s="4"/>
      <c r="G5" s="2"/>
      <c r="H5" s="2"/>
      <c r="I5" s="3"/>
      <c r="J5" s="2"/>
      <c r="K5" s="2"/>
    </row>
    <row r="6">
      <c r="B6" s="2"/>
      <c r="C6" s="2"/>
      <c r="D6" s="4"/>
      <c r="E6" s="4"/>
      <c r="G6" s="2"/>
      <c r="H6" s="2"/>
      <c r="I6" s="3"/>
      <c r="J6" s="2"/>
      <c r="K6" s="2"/>
    </row>
    <row r="7">
      <c r="A7" s="1" t="s">
        <v>7</v>
      </c>
      <c r="B7" s="2" t="s">
        <v>8</v>
      </c>
      <c r="D7" s="4"/>
      <c r="E7" s="4"/>
      <c r="G7" s="2"/>
      <c r="H7" s="2"/>
      <c r="I7" s="2">
        <v>49.96</v>
      </c>
      <c r="J7" s="2">
        <f>SUM(I7:I23)</f>
        <v>310.36</v>
      </c>
      <c r="K7" s="2"/>
    </row>
    <row r="8">
      <c r="B8" s="2" t="s">
        <v>9</v>
      </c>
      <c r="C8" s="2"/>
      <c r="D8" s="4"/>
      <c r="E8" s="4"/>
      <c r="G8" s="2"/>
      <c r="H8" s="2"/>
      <c r="I8" s="2">
        <v>29.0</v>
      </c>
      <c r="J8" s="2"/>
      <c r="K8" s="2"/>
    </row>
    <row r="9">
      <c r="B9" s="6"/>
      <c r="C9" s="5">
        <f t="shared" ref="C9:D9" si="1">SUM(C2:C8)</f>
        <v>88</v>
      </c>
      <c r="D9" s="5">
        <f t="shared" si="1"/>
        <v>479</v>
      </c>
      <c r="E9" s="5"/>
      <c r="F9" s="2"/>
      <c r="G9" s="2"/>
      <c r="H9" s="2"/>
      <c r="I9" s="2">
        <v>2.6</v>
      </c>
      <c r="J9" s="2"/>
      <c r="K9" s="2"/>
    </row>
    <row r="10">
      <c r="B10" s="2" t="s">
        <v>11</v>
      </c>
      <c r="D10" s="2">
        <f>29+427</f>
        <v>456</v>
      </c>
      <c r="E10" s="2"/>
      <c r="G10" s="2"/>
      <c r="H10" s="2"/>
      <c r="I10" s="2">
        <v>14.7</v>
      </c>
    </row>
    <row r="11">
      <c r="B11" s="2" t="s">
        <v>12</v>
      </c>
      <c r="E11" s="2"/>
      <c r="F11" s="7"/>
      <c r="G11" s="2"/>
      <c r="H11" s="2"/>
      <c r="I11" s="2">
        <v>3.7</v>
      </c>
    </row>
    <row r="12">
      <c r="B12" s="2" t="s">
        <v>13</v>
      </c>
      <c r="D12" s="2"/>
      <c r="E12" s="2"/>
      <c r="G12" s="2"/>
      <c r="H12" s="2"/>
      <c r="I12" s="2">
        <v>2.6</v>
      </c>
    </row>
    <row r="13">
      <c r="B13" s="2" t="s">
        <v>14</v>
      </c>
      <c r="D13" s="2">
        <v>160.0</v>
      </c>
      <c r="E13" s="2"/>
      <c r="I13" s="2">
        <v>5.0</v>
      </c>
    </row>
    <row r="14">
      <c r="B14" s="2" t="s">
        <v>15</v>
      </c>
      <c r="C14" s="2">
        <f>33</f>
        <v>33</v>
      </c>
      <c r="E14" s="2"/>
      <c r="H14" s="2"/>
      <c r="I14" s="2">
        <v>24.0</v>
      </c>
    </row>
    <row r="15">
      <c r="B15" s="2" t="s">
        <v>16</v>
      </c>
      <c r="C15" s="2"/>
      <c r="E15" s="2"/>
      <c r="H15" s="2"/>
      <c r="I15" s="2">
        <v>1.0</v>
      </c>
    </row>
    <row r="16">
      <c r="B16" s="2" t="s">
        <v>17</v>
      </c>
      <c r="E16" s="2"/>
      <c r="H16" s="2"/>
      <c r="I16" s="2">
        <v>94.6</v>
      </c>
      <c r="J16" s="23"/>
    </row>
    <row r="17">
      <c r="B17" s="2" t="s">
        <v>74</v>
      </c>
      <c r="D17" s="2"/>
      <c r="E17" s="2"/>
      <c r="H17" s="2"/>
      <c r="I17" s="2">
        <v>24.4</v>
      </c>
    </row>
    <row r="18">
      <c r="A18" s="5" t="s">
        <v>10</v>
      </c>
      <c r="B18" s="6"/>
      <c r="C18" s="5">
        <f t="shared" ref="C18:D18" si="2">SUM(C10:C17)</f>
        <v>33</v>
      </c>
      <c r="D18" s="5">
        <f t="shared" si="2"/>
        <v>616</v>
      </c>
      <c r="E18" s="5"/>
      <c r="H18" s="2"/>
      <c r="I18" s="2">
        <v>4.9</v>
      </c>
    </row>
    <row r="19">
      <c r="A19" s="1" t="s">
        <v>19</v>
      </c>
      <c r="B19" s="2" t="s">
        <v>20</v>
      </c>
      <c r="C19" s="2">
        <f>63+46+7</f>
        <v>116</v>
      </c>
      <c r="D19" s="2"/>
      <c r="E19" s="2"/>
      <c r="H19" s="2"/>
      <c r="I19" s="2">
        <v>3.7</v>
      </c>
    </row>
    <row r="20">
      <c r="B20" s="2" t="s">
        <v>21</v>
      </c>
      <c r="C20" s="2">
        <f>99+84+50 +11</f>
        <v>244</v>
      </c>
      <c r="D20" s="2">
        <f>20+110+28+28</f>
        <v>186</v>
      </c>
      <c r="E20" s="2"/>
      <c r="F20" s="2"/>
      <c r="H20" s="2"/>
      <c r="I20" s="2">
        <v>14.7</v>
      </c>
    </row>
    <row r="21">
      <c r="B21" s="2"/>
      <c r="C21" s="2"/>
      <c r="D21" s="2"/>
      <c r="E21" s="2"/>
      <c r="F21" s="2"/>
      <c r="H21" s="2"/>
      <c r="I21" s="2">
        <v>2.6</v>
      </c>
    </row>
    <row r="22">
      <c r="B22" s="2" t="s">
        <v>22</v>
      </c>
      <c r="D22" s="2"/>
      <c r="H22" s="2"/>
      <c r="I22" s="2">
        <v>15.0</v>
      </c>
    </row>
    <row r="23">
      <c r="A23" s="5" t="s">
        <v>10</v>
      </c>
      <c r="B23" s="5"/>
      <c r="C23" s="5">
        <f t="shared" ref="C23:D23" si="3">SUM(C19:C22)</f>
        <v>360</v>
      </c>
      <c r="D23" s="5">
        <f t="shared" si="3"/>
        <v>186</v>
      </c>
      <c r="E23" s="6"/>
      <c r="I23" s="2">
        <v>17.9</v>
      </c>
    </row>
    <row r="24">
      <c r="A24" s="1" t="s">
        <v>23</v>
      </c>
      <c r="B24" s="2" t="s">
        <v>24</v>
      </c>
      <c r="C24" s="2"/>
      <c r="D24" s="2">
        <v>11.0</v>
      </c>
    </row>
    <row r="25">
      <c r="B25" s="2" t="s">
        <v>25</v>
      </c>
      <c r="C25" s="2"/>
      <c r="D25" s="2"/>
    </row>
    <row r="26">
      <c r="B26" s="2" t="s">
        <v>26</v>
      </c>
      <c r="D26" s="2"/>
    </row>
    <row r="27">
      <c r="B27" s="2" t="s">
        <v>27</v>
      </c>
      <c r="C27" s="2"/>
      <c r="D27" s="2"/>
    </row>
    <row r="28">
      <c r="B28" s="2" t="s">
        <v>28</v>
      </c>
      <c r="C28" s="2"/>
      <c r="D28" s="2"/>
    </row>
    <row r="29">
      <c r="B29" s="2" t="s">
        <v>29</v>
      </c>
      <c r="C29" s="9"/>
      <c r="D29" s="10"/>
      <c r="E29" s="10"/>
    </row>
    <row r="30">
      <c r="A30" s="5" t="s">
        <v>10</v>
      </c>
      <c r="B30" s="5"/>
      <c r="C30" s="5">
        <f t="shared" ref="C30:D30" si="4">sum(C24:C29)</f>
        <v>0</v>
      </c>
      <c r="D30" s="5">
        <f t="shared" si="4"/>
        <v>11</v>
      </c>
      <c r="E30" s="6"/>
      <c r="H30" s="2" t="s">
        <v>30</v>
      </c>
    </row>
    <row r="31">
      <c r="A31" s="11" t="s">
        <v>10</v>
      </c>
    </row>
    <row r="32">
      <c r="A32" s="11" t="s">
        <v>31</v>
      </c>
      <c r="B32" s="12"/>
      <c r="C32" s="12"/>
      <c r="D32">
        <f>C9+C18+C23+C30</f>
        <v>481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1" t="s">
        <v>32</v>
      </c>
      <c r="B33" s="13"/>
      <c r="C33" s="13"/>
      <c r="D33" s="3">
        <f>D9+D18+D23+D30</f>
        <v>1292</v>
      </c>
      <c r="E33" s="3"/>
    </row>
    <row r="34">
      <c r="A34" s="11" t="s">
        <v>33</v>
      </c>
      <c r="B34" s="13"/>
      <c r="C34" s="13"/>
      <c r="D34" s="4">
        <f>(D33-D32)/2</f>
        <v>405.5</v>
      </c>
      <c r="E34" s="13"/>
    </row>
    <row r="35">
      <c r="A35" s="14"/>
    </row>
    <row r="36">
      <c r="A36" s="2" t="s">
        <v>34</v>
      </c>
    </row>
    <row r="37">
      <c r="A37" s="1" t="s">
        <v>35</v>
      </c>
      <c r="B37" s="1" t="s">
        <v>36</v>
      </c>
      <c r="F37" s="1" t="s">
        <v>37</v>
      </c>
      <c r="G37" s="1" t="s">
        <v>36</v>
      </c>
      <c r="I37" s="15" t="s">
        <v>38</v>
      </c>
      <c r="J37" s="16">
        <f>B44-G44</f>
        <v>-344.5</v>
      </c>
    </row>
    <row r="38">
      <c r="A38" s="17" t="s">
        <v>39</v>
      </c>
      <c r="B38" s="18">
        <f>D34</f>
        <v>405.5</v>
      </c>
      <c r="F38" s="17" t="s">
        <v>40</v>
      </c>
      <c r="G38" s="16">
        <v>400.0</v>
      </c>
    </row>
    <row r="39">
      <c r="A39" s="17" t="s">
        <v>41</v>
      </c>
      <c r="B39" s="17">
        <v>-424.0</v>
      </c>
      <c r="F39" s="19" t="s">
        <v>79</v>
      </c>
      <c r="G39" s="17">
        <v>58.0</v>
      </c>
      <c r="I39" s="3" t="s">
        <v>42</v>
      </c>
    </row>
    <row r="40">
      <c r="A40" s="17" t="s">
        <v>43</v>
      </c>
      <c r="B40" s="17">
        <v>115.0</v>
      </c>
      <c r="D40" s="2"/>
      <c r="E40" s="2"/>
      <c r="F40" s="17"/>
      <c r="G40" s="16"/>
      <c r="H40" s="2"/>
      <c r="I40" s="15" t="s">
        <v>44</v>
      </c>
      <c r="J40" s="20">
        <f>D18/2</f>
        <v>308</v>
      </c>
    </row>
    <row r="41">
      <c r="A41" s="17" t="s">
        <v>52</v>
      </c>
      <c r="B41" s="17">
        <v>17.0</v>
      </c>
      <c r="F41" s="17"/>
      <c r="G41" s="16"/>
      <c r="I41" s="15" t="s">
        <v>45</v>
      </c>
      <c r="J41" s="20">
        <f>D9/2</f>
        <v>239.5</v>
      </c>
    </row>
    <row r="42">
      <c r="A42" s="17"/>
      <c r="B42" s="17"/>
      <c r="F42" s="17"/>
      <c r="G42" s="17"/>
      <c r="I42" s="15" t="s">
        <v>46</v>
      </c>
      <c r="J42" s="20">
        <f>D23/2</f>
        <v>93</v>
      </c>
    </row>
    <row r="43">
      <c r="A43" s="17"/>
      <c r="B43" s="21"/>
      <c r="F43" s="17"/>
      <c r="G43" s="17"/>
      <c r="I43" s="15" t="s">
        <v>47</v>
      </c>
      <c r="J43" s="20">
        <f>D30/2</f>
        <v>5.5</v>
      </c>
    </row>
    <row r="44">
      <c r="A44" s="17" t="s">
        <v>10</v>
      </c>
      <c r="B44" s="22">
        <f>sum(B38:B43)</f>
        <v>113.5</v>
      </c>
      <c r="F44" s="17" t="s">
        <v>10</v>
      </c>
      <c r="G44" s="18">
        <f>sum(G38:G43)</f>
        <v>458</v>
      </c>
      <c r="I44" s="15" t="s">
        <v>48</v>
      </c>
      <c r="J44" s="20">
        <f>sum(J40:J43)</f>
        <v>646</v>
      </c>
    </row>
    <row r="47">
      <c r="A47" s="2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</sheetData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23.38"/>
    <col customWidth="1" min="5" max="5" width="15.5"/>
    <col customWidth="1" min="8" max="8" width="25.25"/>
  </cols>
  <sheetData>
    <row r="1" ht="22.5" customHeight="1">
      <c r="A1" s="24" t="s">
        <v>80</v>
      </c>
      <c r="B1" s="24" t="s">
        <v>81</v>
      </c>
      <c r="C1" s="25" t="s">
        <v>0</v>
      </c>
      <c r="D1" s="25" t="s">
        <v>1</v>
      </c>
      <c r="F1" s="2"/>
    </row>
    <row r="2" ht="22.5" customHeight="1">
      <c r="A2" s="26" t="s">
        <v>2</v>
      </c>
      <c r="B2" s="27" t="s">
        <v>3</v>
      </c>
      <c r="C2" s="27"/>
      <c r="D2" s="28">
        <f>5+6+15+9</f>
        <v>35</v>
      </c>
      <c r="F2" s="2"/>
      <c r="G2" s="2"/>
      <c r="H2" s="2"/>
      <c r="I2" s="2"/>
      <c r="J2" s="2"/>
    </row>
    <row r="3" ht="22.5" customHeight="1">
      <c r="A3" s="29"/>
      <c r="B3" s="28" t="s">
        <v>4</v>
      </c>
      <c r="C3" s="29"/>
      <c r="D3" s="28"/>
      <c r="E3" s="13"/>
      <c r="F3" s="3"/>
      <c r="G3" s="13"/>
      <c r="H3" s="3"/>
      <c r="I3" s="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4.75" customHeight="1">
      <c r="B4" s="27" t="s">
        <v>5</v>
      </c>
      <c r="C4" s="27"/>
      <c r="D4" s="27"/>
      <c r="F4" s="2"/>
      <c r="G4" s="2"/>
      <c r="H4" s="2"/>
      <c r="I4" s="2"/>
      <c r="J4" s="2"/>
    </row>
    <row r="5" ht="22.5" customHeight="1">
      <c r="B5" s="27" t="s">
        <v>6</v>
      </c>
      <c r="C5" s="27">
        <f>20+22+11+14</f>
        <v>67</v>
      </c>
      <c r="D5" s="30">
        <v>73.0</v>
      </c>
      <c r="F5" s="2"/>
      <c r="G5" s="2"/>
      <c r="H5" s="3"/>
      <c r="I5" s="2"/>
      <c r="J5" s="2"/>
    </row>
    <row r="6" ht="22.5" customHeight="1">
      <c r="B6" s="27"/>
      <c r="C6" s="27"/>
      <c r="D6" s="30"/>
      <c r="F6" s="2"/>
      <c r="G6" s="2"/>
      <c r="H6" s="3"/>
      <c r="I6" s="2"/>
      <c r="J6" s="2"/>
    </row>
    <row r="7" ht="22.5" customHeight="1">
      <c r="A7" s="26" t="s">
        <v>7</v>
      </c>
      <c r="B7" s="27" t="s">
        <v>8</v>
      </c>
      <c r="D7" s="30"/>
      <c r="F7" s="2"/>
      <c r="G7" s="2"/>
      <c r="H7" s="2">
        <v>49.96</v>
      </c>
      <c r="I7" s="2">
        <f>SUM(H7:H23)</f>
        <v>310.36</v>
      </c>
      <c r="J7" s="2"/>
      <c r="K7" s="31">
        <v>-5.4</v>
      </c>
    </row>
    <row r="8" ht="22.5" customHeight="1">
      <c r="B8" s="27" t="s">
        <v>9</v>
      </c>
      <c r="C8" s="27"/>
      <c r="D8" s="30"/>
      <c r="F8" s="2"/>
      <c r="G8" s="2"/>
      <c r="H8" s="2">
        <v>29.0</v>
      </c>
      <c r="I8" s="2"/>
      <c r="J8" s="2"/>
      <c r="K8" s="31">
        <v>-14.6</v>
      </c>
    </row>
    <row r="9" ht="22.5" customHeight="1">
      <c r="B9" s="32"/>
      <c r="C9" s="33">
        <f t="shared" ref="C9:D9" si="1">SUM(C2:C8)</f>
        <v>67</v>
      </c>
      <c r="D9" s="33">
        <f t="shared" si="1"/>
        <v>108</v>
      </c>
      <c r="E9" s="2"/>
      <c r="F9" s="2"/>
      <c r="G9" s="2"/>
      <c r="H9" s="2">
        <v>2.6</v>
      </c>
      <c r="I9" s="2"/>
      <c r="J9" s="2"/>
      <c r="K9" s="31">
        <v>-7.4</v>
      </c>
    </row>
    <row r="10" ht="22.5" customHeight="1">
      <c r="B10" s="27" t="s">
        <v>11</v>
      </c>
      <c r="D10" s="27">
        <v>29.0</v>
      </c>
      <c r="F10" s="2"/>
      <c r="G10" s="2"/>
      <c r="H10" s="2">
        <v>14.7</v>
      </c>
      <c r="K10" s="31">
        <v>-7.0</v>
      </c>
    </row>
    <row r="11" ht="22.5" customHeight="1">
      <c r="B11" s="27" t="s">
        <v>12</v>
      </c>
      <c r="D11" s="27">
        <v>251.0</v>
      </c>
      <c r="E11" s="7"/>
      <c r="F11" s="2"/>
      <c r="G11" s="2"/>
      <c r="H11" s="2">
        <v>3.7</v>
      </c>
      <c r="K11" s="31">
        <v>-20.8</v>
      </c>
    </row>
    <row r="12" ht="22.5" customHeight="1">
      <c r="B12" s="27" t="s">
        <v>13</v>
      </c>
      <c r="D12" s="27"/>
      <c r="F12" s="2"/>
      <c r="G12" s="2"/>
      <c r="H12" s="2">
        <v>2.6</v>
      </c>
      <c r="K12" s="31">
        <v>-10.0</v>
      </c>
    </row>
    <row r="13" ht="22.5" customHeight="1">
      <c r="B13" s="27" t="s">
        <v>14</v>
      </c>
      <c r="D13" s="27">
        <v>160.0</v>
      </c>
      <c r="H13" s="2">
        <v>5.0</v>
      </c>
      <c r="K13" s="31">
        <v>-1.5</v>
      </c>
    </row>
    <row r="14" ht="22.5" customHeight="1">
      <c r="B14" s="27" t="s">
        <v>15</v>
      </c>
      <c r="C14" s="27">
        <f>33</f>
        <v>33</v>
      </c>
      <c r="G14" s="2"/>
      <c r="H14" s="2">
        <v>24.0</v>
      </c>
      <c r="K14" s="31">
        <v>-1.5</v>
      </c>
    </row>
    <row r="15" ht="22.5" customHeight="1">
      <c r="B15" s="27" t="s">
        <v>16</v>
      </c>
      <c r="C15" s="27"/>
      <c r="G15" s="2"/>
      <c r="H15" s="2">
        <v>1.0</v>
      </c>
      <c r="K15" s="31">
        <v>-38.57</v>
      </c>
    </row>
    <row r="16" ht="22.5" customHeight="1">
      <c r="B16" s="27" t="s">
        <v>17</v>
      </c>
      <c r="G16" s="2"/>
      <c r="H16" s="2">
        <v>94.6</v>
      </c>
      <c r="I16" s="23"/>
      <c r="K16" s="31">
        <v>-577.18</v>
      </c>
    </row>
    <row r="17" ht="22.5" customHeight="1">
      <c r="B17" s="27" t="s">
        <v>74</v>
      </c>
      <c r="D17" s="27"/>
      <c r="G17" s="2"/>
      <c r="H17" s="2">
        <v>24.4</v>
      </c>
      <c r="K17" s="31">
        <v>-1.5</v>
      </c>
    </row>
    <row r="18" ht="22.5" customHeight="1">
      <c r="A18" s="33" t="s">
        <v>10</v>
      </c>
      <c r="B18" s="32"/>
      <c r="C18" s="33">
        <f t="shared" ref="C18:D18" si="2">SUM(C10:C17)</f>
        <v>33</v>
      </c>
      <c r="D18" s="33">
        <f t="shared" si="2"/>
        <v>440</v>
      </c>
      <c r="G18" s="2"/>
      <c r="H18" s="2">
        <v>4.9</v>
      </c>
      <c r="K18" s="31">
        <v>-11.3</v>
      </c>
    </row>
    <row r="19" ht="22.5" customHeight="1">
      <c r="A19" s="26" t="s">
        <v>19</v>
      </c>
      <c r="B19" s="27" t="s">
        <v>20</v>
      </c>
      <c r="C19" s="27">
        <f>51</f>
        <v>51</v>
      </c>
      <c r="D19" s="27"/>
      <c r="G19" s="2"/>
      <c r="H19" s="2">
        <v>3.7</v>
      </c>
      <c r="K19" s="31">
        <v>-16.2</v>
      </c>
    </row>
    <row r="20" ht="22.5" customHeight="1">
      <c r="B20" s="27" t="s">
        <v>21</v>
      </c>
      <c r="C20" s="27">
        <f>-sum(K7:K25)</f>
        <v>801.85</v>
      </c>
      <c r="D20" s="27">
        <v>68.0</v>
      </c>
      <c r="E20" s="2"/>
      <c r="G20" s="2"/>
      <c r="H20" s="2">
        <v>14.7</v>
      </c>
      <c r="K20" s="31">
        <v>-10.01</v>
      </c>
    </row>
    <row r="21" ht="22.5" customHeight="1">
      <c r="B21" s="27"/>
      <c r="C21" s="27"/>
      <c r="D21" s="27"/>
      <c r="E21" s="2"/>
      <c r="G21" s="2"/>
      <c r="H21" s="2">
        <v>2.6</v>
      </c>
      <c r="K21" s="31">
        <v>-49.99</v>
      </c>
    </row>
    <row r="22" ht="22.5" customHeight="1">
      <c r="B22" s="27" t="s">
        <v>22</v>
      </c>
      <c r="C22" s="34"/>
      <c r="D22" s="27"/>
      <c r="G22" s="2"/>
      <c r="H22" s="2">
        <v>15.0</v>
      </c>
      <c r="K22" s="31">
        <v>-1.5</v>
      </c>
    </row>
    <row r="23" ht="22.5" customHeight="1">
      <c r="A23" s="33" t="s">
        <v>10</v>
      </c>
      <c r="B23" s="33"/>
      <c r="C23" s="33">
        <f t="shared" ref="C23:D23" si="3">SUM(C19:C22)</f>
        <v>852.85</v>
      </c>
      <c r="D23" s="33">
        <f t="shared" si="3"/>
        <v>68</v>
      </c>
      <c r="H23" s="2">
        <v>17.9</v>
      </c>
      <c r="K23" s="31">
        <v>-14.6</v>
      </c>
    </row>
    <row r="24" ht="22.5" customHeight="1">
      <c r="A24" s="26" t="s">
        <v>23</v>
      </c>
      <c r="B24" s="27" t="s">
        <v>24</v>
      </c>
      <c r="C24" s="27"/>
      <c r="D24" s="27"/>
      <c r="K24" s="31">
        <v>-5.4</v>
      </c>
    </row>
    <row r="25" ht="22.5" customHeight="1">
      <c r="B25" s="27" t="s">
        <v>25</v>
      </c>
      <c r="C25" s="27"/>
      <c r="D25" s="27">
        <f>90+26</f>
        <v>116</v>
      </c>
      <c r="K25" s="31">
        <v>-7.4</v>
      </c>
    </row>
    <row r="26" ht="22.5" customHeight="1">
      <c r="B26" s="27" t="s">
        <v>26</v>
      </c>
      <c r="D26" s="27"/>
    </row>
    <row r="27" ht="22.5" customHeight="1">
      <c r="B27" s="27" t="s">
        <v>27</v>
      </c>
      <c r="C27" s="27"/>
      <c r="D27" s="27"/>
    </row>
    <row r="28" ht="22.5" customHeight="1">
      <c r="B28" s="27" t="s">
        <v>28</v>
      </c>
      <c r="C28" s="27"/>
      <c r="D28" s="27"/>
    </row>
    <row r="29" ht="22.5" customHeight="1">
      <c r="B29" s="27" t="s">
        <v>29</v>
      </c>
      <c r="C29" s="35"/>
      <c r="D29" s="36"/>
    </row>
    <row r="30" ht="22.5" customHeight="1">
      <c r="A30" s="33" t="s">
        <v>10</v>
      </c>
      <c r="B30" s="33"/>
      <c r="C30" s="33">
        <f t="shared" ref="C30:D30" si="4">sum(C24:C29)</f>
        <v>0</v>
      </c>
      <c r="D30" s="33">
        <f t="shared" si="4"/>
        <v>116</v>
      </c>
      <c r="G30" s="2" t="s">
        <v>30</v>
      </c>
    </row>
    <row r="31" ht="22.5" customHeight="1">
      <c r="A31" s="37" t="s">
        <v>10</v>
      </c>
    </row>
    <row r="32" ht="22.5" customHeight="1">
      <c r="A32" s="37" t="s">
        <v>31</v>
      </c>
      <c r="B32" s="38"/>
      <c r="C32" s="38"/>
      <c r="D32" s="34">
        <f>C9+C18+C23+C30</f>
        <v>952.85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22.5" customHeight="1">
      <c r="A33" s="37" t="s">
        <v>32</v>
      </c>
      <c r="B33" s="29"/>
      <c r="C33" s="29"/>
      <c r="D33" s="28">
        <f>D9+D18+D23+D30</f>
        <v>732</v>
      </c>
    </row>
    <row r="34" ht="22.5" customHeight="1">
      <c r="A34" s="37" t="s">
        <v>33</v>
      </c>
      <c r="B34" s="29"/>
      <c r="C34" s="29"/>
      <c r="D34" s="30">
        <f>(D33-D32)/2</f>
        <v>-110.425</v>
      </c>
    </row>
    <row r="35">
      <c r="A35" s="14"/>
    </row>
    <row r="36">
      <c r="A36" s="2" t="s">
        <v>34</v>
      </c>
    </row>
    <row r="37">
      <c r="A37" s="2"/>
      <c r="B37" s="2"/>
      <c r="E37" s="39"/>
      <c r="F37" s="39"/>
      <c r="H37" s="39"/>
      <c r="I37" s="39"/>
    </row>
    <row r="38" ht="22.5" customHeight="1">
      <c r="A38" s="25" t="s">
        <v>35</v>
      </c>
      <c r="B38" s="25" t="s">
        <v>36</v>
      </c>
      <c r="E38" s="25" t="s">
        <v>37</v>
      </c>
      <c r="F38" s="25" t="s">
        <v>36</v>
      </c>
      <c r="H38" s="15" t="s">
        <v>38</v>
      </c>
      <c r="I38" s="16">
        <f>B45-F45</f>
        <v>-851.425</v>
      </c>
    </row>
    <row r="39" ht="22.5" customHeight="1">
      <c r="A39" s="40" t="s">
        <v>39</v>
      </c>
      <c r="B39" s="41">
        <f>D34</f>
        <v>-110.425</v>
      </c>
      <c r="E39" s="40" t="s">
        <v>40</v>
      </c>
      <c r="F39" s="42">
        <v>500.0</v>
      </c>
    </row>
    <row r="40" ht="22.5" customHeight="1">
      <c r="A40" s="40" t="s">
        <v>41</v>
      </c>
      <c r="B40" s="40">
        <v>-356.0</v>
      </c>
      <c r="E40" s="43"/>
      <c r="F40" s="40"/>
      <c r="H40" s="3" t="s">
        <v>42</v>
      </c>
    </row>
    <row r="41" ht="22.5" customHeight="1">
      <c r="A41" s="40" t="s">
        <v>43</v>
      </c>
      <c r="B41" s="40">
        <v>115.0</v>
      </c>
      <c r="D41" s="2"/>
      <c r="E41" s="40"/>
      <c r="F41" s="42"/>
      <c r="G41" s="2"/>
      <c r="H41" s="15" t="s">
        <v>44</v>
      </c>
      <c r="I41" s="20">
        <f>D18/2</f>
        <v>220</v>
      </c>
    </row>
    <row r="42" ht="22.5" customHeight="1">
      <c r="A42" s="40"/>
      <c r="B42" s="40"/>
      <c r="E42" s="40"/>
      <c r="F42" s="42"/>
      <c r="H42" s="15" t="s">
        <v>45</v>
      </c>
      <c r="I42" s="20">
        <f>D9/2</f>
        <v>54</v>
      </c>
    </row>
    <row r="43" ht="22.5" customHeight="1">
      <c r="A43" s="40"/>
      <c r="B43" s="40"/>
      <c r="E43" s="40"/>
      <c r="F43" s="40"/>
      <c r="H43" s="15" t="s">
        <v>46</v>
      </c>
      <c r="I43" s="20">
        <f>D23/2</f>
        <v>34</v>
      </c>
    </row>
    <row r="44" ht="22.5" customHeight="1">
      <c r="A44" s="40"/>
      <c r="B44" s="44"/>
      <c r="E44" s="40"/>
      <c r="F44" s="40"/>
      <c r="H44" s="15" t="s">
        <v>47</v>
      </c>
      <c r="I44" s="20">
        <f>D30/2</f>
        <v>58</v>
      </c>
    </row>
    <row r="45" ht="22.5" customHeight="1">
      <c r="A45" s="40" t="s">
        <v>10</v>
      </c>
      <c r="B45" s="45">
        <f>sum(B39:B44)</f>
        <v>-351.425</v>
      </c>
      <c r="E45" s="40" t="s">
        <v>10</v>
      </c>
      <c r="F45" s="41">
        <f>sum(F39:F44)</f>
        <v>500</v>
      </c>
      <c r="H45" s="15" t="s">
        <v>48</v>
      </c>
      <c r="I45" s="20">
        <f>sum(I41:I44)</f>
        <v>366</v>
      </c>
    </row>
    <row r="48">
      <c r="A48" s="2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</sheetData>
  <drawing r:id="rId2"/>
  <legacyDrawing r:id="rId3"/>
  <tableParts count="3">
    <tablePart r:id="rId7"/>
    <tablePart r:id="rId8"/>
    <tablePart r:id="rId9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23.38"/>
    <col customWidth="1" min="5" max="5" width="15.5"/>
    <col customWidth="1" min="8" max="8" width="25.25"/>
  </cols>
  <sheetData>
    <row r="1" ht="22.5" customHeight="1">
      <c r="A1" s="24" t="s">
        <v>80</v>
      </c>
      <c r="B1" s="24" t="s">
        <v>81</v>
      </c>
      <c r="C1" s="25" t="s">
        <v>0</v>
      </c>
      <c r="D1" s="25" t="s">
        <v>1</v>
      </c>
      <c r="F1" s="2"/>
    </row>
    <row r="2" ht="22.5" customHeight="1">
      <c r="A2" s="26" t="s">
        <v>2</v>
      </c>
      <c r="B2" s="27" t="s">
        <v>3</v>
      </c>
      <c r="C2" s="27"/>
      <c r="D2" s="28">
        <f>13+8+6+7</f>
        <v>34</v>
      </c>
      <c r="F2" s="2"/>
      <c r="G2" s="2"/>
      <c r="H2" s="2"/>
      <c r="I2" s="2"/>
      <c r="J2" s="2"/>
    </row>
    <row r="3" ht="22.5" customHeight="1">
      <c r="A3" s="29"/>
      <c r="B3" s="28" t="s">
        <v>4</v>
      </c>
      <c r="C3" s="29"/>
      <c r="D3" s="28"/>
      <c r="E3" s="13"/>
      <c r="F3" s="3"/>
      <c r="G3" s="13"/>
      <c r="H3" s="3"/>
      <c r="I3" s="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4.75" customHeight="1">
      <c r="B4" s="27" t="s">
        <v>5</v>
      </c>
      <c r="C4" s="27"/>
      <c r="D4" s="27">
        <f>40+16+25</f>
        <v>81</v>
      </c>
      <c r="F4" s="2"/>
      <c r="G4" s="2"/>
      <c r="H4" s="2"/>
      <c r="I4" s="2"/>
      <c r="J4" s="2"/>
    </row>
    <row r="5" ht="22.5" customHeight="1">
      <c r="B5" s="27" t="s">
        <v>6</v>
      </c>
      <c r="C5" s="27">
        <f>22+23+30</f>
        <v>75</v>
      </c>
      <c r="D5" s="30">
        <f>110+83+84+88+91</f>
        <v>456</v>
      </c>
      <c r="F5" s="2"/>
      <c r="G5" s="2"/>
      <c r="H5" s="3"/>
      <c r="I5" s="2"/>
      <c r="J5" s="2"/>
    </row>
    <row r="6" ht="22.5" customHeight="1">
      <c r="B6" s="27"/>
      <c r="C6" s="27"/>
      <c r="D6" s="30"/>
      <c r="F6" s="2"/>
      <c r="G6" s="2"/>
      <c r="H6" s="3"/>
      <c r="I6" s="2"/>
      <c r="J6" s="2"/>
    </row>
    <row r="7" ht="22.5" customHeight="1">
      <c r="A7" s="26" t="s">
        <v>7</v>
      </c>
      <c r="B7" s="27" t="s">
        <v>8</v>
      </c>
      <c r="D7" s="30"/>
      <c r="F7" s="2"/>
      <c r="G7" s="2"/>
      <c r="H7" s="2">
        <v>49.96</v>
      </c>
      <c r="I7" s="2">
        <f>SUM(H7:H23)</f>
        <v>310.36</v>
      </c>
      <c r="J7" s="2"/>
      <c r="K7" s="31">
        <v>-5.4</v>
      </c>
    </row>
    <row r="8" ht="22.5" customHeight="1">
      <c r="B8" s="27" t="s">
        <v>9</v>
      </c>
      <c r="C8" s="27"/>
      <c r="D8" s="30"/>
      <c r="F8" s="2"/>
      <c r="G8" s="2"/>
      <c r="H8" s="2">
        <v>29.0</v>
      </c>
      <c r="I8" s="2"/>
      <c r="J8" s="2"/>
      <c r="K8" s="31">
        <v>-14.6</v>
      </c>
    </row>
    <row r="9" ht="22.5" customHeight="1">
      <c r="B9" s="32"/>
      <c r="C9" s="33">
        <f t="shared" ref="C9:D9" si="1">SUM(C2:C8)</f>
        <v>75</v>
      </c>
      <c r="D9" s="33">
        <f t="shared" si="1"/>
        <v>571</v>
      </c>
      <c r="E9" s="2"/>
      <c r="F9" s="2"/>
      <c r="G9" s="2"/>
      <c r="H9" s="2">
        <v>2.6</v>
      </c>
      <c r="I9" s="2"/>
      <c r="J9" s="2"/>
      <c r="K9" s="31">
        <v>-7.4</v>
      </c>
    </row>
    <row r="10" ht="22.5" customHeight="1">
      <c r="B10" s="27" t="s">
        <v>11</v>
      </c>
      <c r="D10" s="27">
        <v>29.0</v>
      </c>
      <c r="F10" s="2"/>
      <c r="G10" s="2"/>
      <c r="H10" s="2">
        <v>14.7</v>
      </c>
      <c r="K10" s="31">
        <v>-7.0</v>
      </c>
    </row>
    <row r="11" ht="22.5" customHeight="1">
      <c r="B11" s="27" t="s">
        <v>12</v>
      </c>
      <c r="D11" s="27"/>
      <c r="E11" s="7"/>
      <c r="F11" s="2"/>
      <c r="G11" s="2"/>
      <c r="H11" s="2">
        <v>3.7</v>
      </c>
      <c r="K11" s="31">
        <v>-20.8</v>
      </c>
    </row>
    <row r="12" ht="22.5" customHeight="1">
      <c r="B12" s="27" t="s">
        <v>13</v>
      </c>
      <c r="D12" s="27"/>
      <c r="F12" s="2"/>
      <c r="G12" s="2"/>
      <c r="H12" s="2">
        <v>2.6</v>
      </c>
      <c r="K12" s="31">
        <v>-10.0</v>
      </c>
    </row>
    <row r="13" ht="22.5" customHeight="1">
      <c r="B13" s="27" t="s">
        <v>14</v>
      </c>
      <c r="D13" s="27">
        <v>160.0</v>
      </c>
      <c r="H13" s="2">
        <v>5.0</v>
      </c>
      <c r="K13" s="31">
        <v>-1.5</v>
      </c>
    </row>
    <row r="14" ht="22.5" customHeight="1">
      <c r="B14" s="27" t="s">
        <v>15</v>
      </c>
      <c r="C14" s="27">
        <f>33</f>
        <v>33</v>
      </c>
      <c r="G14" s="2"/>
      <c r="H14" s="2">
        <v>24.0</v>
      </c>
      <c r="K14" s="31">
        <v>-1.5</v>
      </c>
    </row>
    <row r="15" ht="22.5" customHeight="1">
      <c r="B15" s="27" t="s">
        <v>16</v>
      </c>
      <c r="C15" s="27"/>
      <c r="G15" s="2"/>
      <c r="H15" s="2">
        <v>1.0</v>
      </c>
      <c r="K15" s="31">
        <v>-38.57</v>
      </c>
    </row>
    <row r="16" ht="22.5" customHeight="1">
      <c r="B16" s="27" t="s">
        <v>17</v>
      </c>
      <c r="G16" s="2"/>
      <c r="H16" s="2">
        <v>94.6</v>
      </c>
      <c r="I16" s="23"/>
      <c r="K16" s="31">
        <v>-577.18</v>
      </c>
    </row>
    <row r="17" ht="22.5" customHeight="1">
      <c r="B17" s="27" t="s">
        <v>74</v>
      </c>
      <c r="D17" s="27"/>
      <c r="G17" s="2"/>
      <c r="H17" s="2">
        <v>24.4</v>
      </c>
      <c r="K17" s="31">
        <v>-1.5</v>
      </c>
    </row>
    <row r="18" ht="22.5" customHeight="1">
      <c r="A18" s="33" t="s">
        <v>10</v>
      </c>
      <c r="B18" s="32"/>
      <c r="C18" s="33">
        <f t="shared" ref="C18:D18" si="2">SUM(C10:C17)</f>
        <v>33</v>
      </c>
      <c r="D18" s="33">
        <f t="shared" si="2"/>
        <v>189</v>
      </c>
      <c r="G18" s="2"/>
      <c r="H18" s="2">
        <v>4.9</v>
      </c>
      <c r="K18" s="31">
        <v>-11.3</v>
      </c>
    </row>
    <row r="19" ht="22.5" customHeight="1">
      <c r="A19" s="26" t="s">
        <v>19</v>
      </c>
      <c r="B19" s="27" t="s">
        <v>20</v>
      </c>
      <c r="C19" s="27">
        <f>59</f>
        <v>59</v>
      </c>
      <c r="D19" s="27"/>
      <c r="G19" s="2"/>
      <c r="H19" s="2">
        <v>3.7</v>
      </c>
      <c r="K19" s="31">
        <v>-16.2</v>
      </c>
    </row>
    <row r="20" ht="22.5" customHeight="1">
      <c r="B20" s="27" t="s">
        <v>21</v>
      </c>
      <c r="C20" s="27"/>
      <c r="D20" s="27">
        <v>285.0</v>
      </c>
      <c r="E20" s="2"/>
      <c r="G20" s="2"/>
      <c r="H20" s="2">
        <v>14.7</v>
      </c>
      <c r="K20" s="31">
        <v>-10.01</v>
      </c>
    </row>
    <row r="21" ht="22.5" customHeight="1">
      <c r="B21" s="27"/>
      <c r="C21" s="27"/>
      <c r="D21" s="27"/>
      <c r="E21" s="2"/>
      <c r="G21" s="2"/>
      <c r="H21" s="2">
        <v>2.6</v>
      </c>
      <c r="K21" s="31">
        <v>-49.99</v>
      </c>
    </row>
    <row r="22" ht="22.5" customHeight="1">
      <c r="B22" s="27" t="s">
        <v>22</v>
      </c>
      <c r="C22" s="34"/>
      <c r="D22" s="27"/>
      <c r="G22" s="2"/>
      <c r="H22" s="2">
        <v>15.0</v>
      </c>
      <c r="K22" s="31">
        <v>-1.5</v>
      </c>
    </row>
    <row r="23" ht="22.5" customHeight="1">
      <c r="A23" s="33" t="s">
        <v>10</v>
      </c>
      <c r="B23" s="33"/>
      <c r="C23" s="33">
        <f t="shared" ref="C23:D23" si="3">SUM(C19:C22)</f>
        <v>59</v>
      </c>
      <c r="D23" s="33">
        <f t="shared" si="3"/>
        <v>285</v>
      </c>
      <c r="H23" s="2">
        <v>17.9</v>
      </c>
      <c r="K23" s="31">
        <v>-14.6</v>
      </c>
    </row>
    <row r="24" ht="22.5" customHeight="1">
      <c r="A24" s="26" t="s">
        <v>23</v>
      </c>
      <c r="B24" s="27" t="s">
        <v>24</v>
      </c>
      <c r="C24" s="27"/>
      <c r="D24" s="27"/>
      <c r="K24" s="31">
        <v>-5.4</v>
      </c>
    </row>
    <row r="25" ht="22.5" customHeight="1">
      <c r="B25" s="27" t="s">
        <v>25</v>
      </c>
      <c r="C25" s="27"/>
      <c r="D25" s="27">
        <v>61.0</v>
      </c>
      <c r="K25" s="31">
        <v>-7.4</v>
      </c>
    </row>
    <row r="26" ht="22.5" customHeight="1">
      <c r="B26" s="27" t="s">
        <v>26</v>
      </c>
      <c r="D26" s="27"/>
    </row>
    <row r="27" ht="22.5" customHeight="1">
      <c r="B27" s="27" t="s">
        <v>27</v>
      </c>
      <c r="C27" s="27"/>
      <c r="D27" s="27"/>
    </row>
    <row r="28" ht="22.5" customHeight="1">
      <c r="B28" s="27" t="s">
        <v>28</v>
      </c>
      <c r="C28" s="27">
        <v>20.0</v>
      </c>
      <c r="D28" s="27"/>
    </row>
    <row r="29" ht="22.5" customHeight="1">
      <c r="B29" s="27" t="s">
        <v>29</v>
      </c>
      <c r="C29" s="35"/>
      <c r="D29" s="36"/>
    </row>
    <row r="30" ht="22.5" customHeight="1">
      <c r="A30" s="46" t="s">
        <v>10</v>
      </c>
      <c r="B30" s="33"/>
      <c r="C30" s="33">
        <f t="shared" ref="C30:D30" si="4">sum(C24:C29)</f>
        <v>20</v>
      </c>
      <c r="D30" s="33">
        <f t="shared" si="4"/>
        <v>61</v>
      </c>
      <c r="G30" s="2" t="s">
        <v>30</v>
      </c>
    </row>
    <row r="31" ht="22.5" customHeight="1">
      <c r="A31" s="37" t="s">
        <v>10</v>
      </c>
    </row>
    <row r="32" ht="22.5" customHeight="1">
      <c r="A32" s="37" t="s">
        <v>31</v>
      </c>
      <c r="B32" s="38"/>
      <c r="C32" s="38"/>
      <c r="D32" s="34">
        <f>C9+C18+C23+C30</f>
        <v>187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22.5" customHeight="1">
      <c r="A33" s="37" t="s">
        <v>32</v>
      </c>
      <c r="B33" s="29"/>
      <c r="C33" s="29"/>
      <c r="D33" s="28">
        <f>D9+D18+D23+D30</f>
        <v>1106</v>
      </c>
    </row>
    <row r="34" ht="22.5" customHeight="1">
      <c r="A34" s="37" t="s">
        <v>33</v>
      </c>
      <c r="B34" s="29"/>
      <c r="C34" s="29"/>
      <c r="D34" s="30">
        <f>(D33-D32)/2</f>
        <v>459.5</v>
      </c>
    </row>
    <row r="35">
      <c r="A35" s="14"/>
    </row>
    <row r="36">
      <c r="A36" s="2" t="s">
        <v>34</v>
      </c>
    </row>
    <row r="37">
      <c r="A37" s="2"/>
      <c r="B37" s="2"/>
      <c r="E37" s="39"/>
      <c r="F37" s="39"/>
      <c r="H37" s="39"/>
      <c r="I37" s="39"/>
    </row>
    <row r="38" ht="22.5" customHeight="1">
      <c r="A38" s="25" t="s">
        <v>35</v>
      </c>
      <c r="B38" s="25" t="s">
        <v>36</v>
      </c>
      <c r="E38" s="25" t="s">
        <v>37</v>
      </c>
      <c r="F38" s="25" t="s">
        <v>36</v>
      </c>
      <c r="H38" s="15" t="s">
        <v>38</v>
      </c>
      <c r="I38" s="16">
        <f>B45-F45</f>
        <v>-276.5</v>
      </c>
    </row>
    <row r="39" ht="22.5" customHeight="1">
      <c r="A39" s="40" t="s">
        <v>39</v>
      </c>
      <c r="B39" s="41">
        <f>D34</f>
        <v>459.5</v>
      </c>
      <c r="E39" s="40" t="s">
        <v>40</v>
      </c>
      <c r="F39" s="42"/>
    </row>
    <row r="40" ht="22.5" customHeight="1">
      <c r="A40" s="40" t="s">
        <v>41</v>
      </c>
      <c r="B40" s="40">
        <v>-851.0</v>
      </c>
      <c r="E40" s="43"/>
      <c r="F40" s="40"/>
      <c r="H40" s="3" t="s">
        <v>42</v>
      </c>
    </row>
    <row r="41" ht="22.5" customHeight="1">
      <c r="A41" s="40" t="s">
        <v>43</v>
      </c>
      <c r="B41" s="40">
        <v>115.0</v>
      </c>
      <c r="D41" s="2"/>
      <c r="E41" s="40"/>
      <c r="F41" s="42"/>
      <c r="G41" s="2"/>
      <c r="H41" s="15" t="s">
        <v>44</v>
      </c>
      <c r="I41" s="20">
        <f>D18/2</f>
        <v>94.5</v>
      </c>
    </row>
    <row r="42" ht="22.5" customHeight="1">
      <c r="A42" s="40"/>
      <c r="B42" s="40"/>
      <c r="E42" s="40"/>
      <c r="F42" s="42"/>
      <c r="H42" s="15" t="s">
        <v>45</v>
      </c>
      <c r="I42" s="20">
        <f>D9/2</f>
        <v>285.5</v>
      </c>
    </row>
    <row r="43" ht="22.5" customHeight="1">
      <c r="A43" s="40"/>
      <c r="B43" s="40"/>
      <c r="E43" s="40"/>
      <c r="F43" s="40"/>
      <c r="H43" s="15" t="s">
        <v>46</v>
      </c>
      <c r="I43" s="20">
        <f>D23/2</f>
        <v>142.5</v>
      </c>
    </row>
    <row r="44" ht="22.5" customHeight="1">
      <c r="A44" s="40"/>
      <c r="B44" s="44"/>
      <c r="E44" s="40"/>
      <c r="F44" s="40"/>
      <c r="H44" s="15" t="s">
        <v>47</v>
      </c>
      <c r="I44" s="20">
        <f>D30/2</f>
        <v>30.5</v>
      </c>
    </row>
    <row r="45" ht="22.5" customHeight="1">
      <c r="A45" s="40" t="s">
        <v>10</v>
      </c>
      <c r="B45" s="45">
        <f>sum(B39:B44)</f>
        <v>-276.5</v>
      </c>
      <c r="E45" s="40" t="s">
        <v>10</v>
      </c>
      <c r="F45" s="41">
        <f>sum(F39:F44)</f>
        <v>0</v>
      </c>
      <c r="H45" s="15" t="s">
        <v>48</v>
      </c>
      <c r="I45" s="20">
        <f>sum(I41:I44)</f>
        <v>553</v>
      </c>
    </row>
    <row r="48">
      <c r="A48" s="2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</sheetData>
  <drawing r:id="rId2"/>
  <legacyDrawing r:id="rId3"/>
  <tableParts count="3">
    <tablePart r:id="rId7"/>
    <tablePart r:id="rId8"/>
    <tablePart r:id="rId9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23.38"/>
    <col customWidth="1" min="5" max="5" width="15.5"/>
    <col customWidth="1" min="8" max="8" width="25.25"/>
  </cols>
  <sheetData>
    <row r="1" ht="22.5" customHeight="1">
      <c r="A1" s="24" t="s">
        <v>80</v>
      </c>
      <c r="B1" s="24" t="s">
        <v>81</v>
      </c>
      <c r="C1" s="25" t="s">
        <v>0</v>
      </c>
      <c r="D1" s="25" t="s">
        <v>1</v>
      </c>
      <c r="F1" s="2"/>
    </row>
    <row r="2" ht="22.5" customHeight="1">
      <c r="A2" s="26" t="s">
        <v>2</v>
      </c>
      <c r="B2" s="27" t="s">
        <v>3</v>
      </c>
      <c r="C2" s="27"/>
      <c r="D2" s="28">
        <f>9+14+4+14+8</f>
        <v>49</v>
      </c>
      <c r="F2" s="2"/>
      <c r="G2" s="2"/>
      <c r="H2" s="2"/>
      <c r="I2" s="2"/>
      <c r="J2" s="2"/>
    </row>
    <row r="3" ht="22.5" customHeight="1">
      <c r="A3" s="29"/>
      <c r="B3" s="28" t="s">
        <v>4</v>
      </c>
      <c r="C3" s="29"/>
      <c r="D3" s="28"/>
      <c r="E3" s="13"/>
      <c r="F3" s="3"/>
      <c r="G3" s="13"/>
      <c r="H3" s="3"/>
      <c r="I3" s="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4.75" customHeight="1">
      <c r="B4" s="27" t="s">
        <v>5</v>
      </c>
      <c r="C4" s="27"/>
      <c r="D4" s="27">
        <f>22+42+3</f>
        <v>67</v>
      </c>
      <c r="F4" s="2"/>
      <c r="G4" s="2"/>
      <c r="H4" s="2"/>
      <c r="I4" s="2"/>
      <c r="J4" s="2"/>
    </row>
    <row r="5" ht="22.5" customHeight="1">
      <c r="B5" s="27" t="s">
        <v>6</v>
      </c>
      <c r="C5" s="27">
        <f>20+28+9+19+6+27+20</f>
        <v>129</v>
      </c>
      <c r="D5" s="30">
        <f>82+107+55+54</f>
        <v>298</v>
      </c>
      <c r="F5" s="2"/>
      <c r="G5" s="2"/>
      <c r="H5" s="3"/>
      <c r="I5" s="2"/>
      <c r="J5" s="2"/>
    </row>
    <row r="6" ht="22.5" customHeight="1">
      <c r="B6" s="27"/>
      <c r="C6" s="27"/>
      <c r="D6" s="30"/>
      <c r="F6" s="2"/>
      <c r="G6" s="2"/>
      <c r="H6" s="3"/>
      <c r="I6" s="2"/>
      <c r="J6" s="2"/>
    </row>
    <row r="7" ht="22.5" customHeight="1">
      <c r="A7" s="26" t="s">
        <v>7</v>
      </c>
      <c r="B7" s="27" t="s">
        <v>8</v>
      </c>
      <c r="D7" s="30"/>
      <c r="F7" s="2"/>
      <c r="G7" s="2"/>
      <c r="H7" s="2">
        <v>49.96</v>
      </c>
      <c r="I7" s="2">
        <f>SUM(H7:H23)</f>
        <v>310.36</v>
      </c>
      <c r="J7" s="2"/>
      <c r="K7" s="31">
        <v>-5.4</v>
      </c>
    </row>
    <row r="8" ht="22.5" customHeight="1">
      <c r="B8" s="27" t="s">
        <v>9</v>
      </c>
      <c r="C8" s="27"/>
      <c r="D8" s="30"/>
      <c r="F8" s="2"/>
      <c r="G8" s="2"/>
      <c r="H8" s="2">
        <v>29.0</v>
      </c>
      <c r="I8" s="2"/>
      <c r="J8" s="2"/>
      <c r="K8" s="31">
        <v>-14.6</v>
      </c>
    </row>
    <row r="9" ht="22.5" customHeight="1">
      <c r="B9" s="32"/>
      <c r="C9" s="33">
        <f t="shared" ref="C9:D9" si="1">SUM(C2:C8)</f>
        <v>129</v>
      </c>
      <c r="D9" s="33">
        <f t="shared" si="1"/>
        <v>414</v>
      </c>
      <c r="E9" s="2"/>
      <c r="F9" s="2"/>
      <c r="G9" s="2"/>
      <c r="H9" s="2">
        <v>2.6</v>
      </c>
      <c r="I9" s="2"/>
      <c r="J9" s="2"/>
      <c r="K9" s="31">
        <v>-7.4</v>
      </c>
    </row>
    <row r="10" ht="22.5" customHeight="1">
      <c r="B10" s="27" t="s">
        <v>11</v>
      </c>
      <c r="D10" s="27">
        <v>29.0</v>
      </c>
      <c r="F10" s="2"/>
      <c r="G10" s="2"/>
      <c r="H10" s="2">
        <v>14.7</v>
      </c>
      <c r="K10" s="31">
        <v>-7.0</v>
      </c>
    </row>
    <row r="11" ht="22.5" customHeight="1">
      <c r="B11" s="27" t="s">
        <v>12</v>
      </c>
      <c r="D11" s="27"/>
      <c r="E11" s="7"/>
      <c r="F11" s="2"/>
      <c r="G11" s="2"/>
      <c r="H11" s="2">
        <v>3.7</v>
      </c>
      <c r="K11" s="31">
        <v>-20.8</v>
      </c>
    </row>
    <row r="12" ht="22.5" customHeight="1">
      <c r="B12" s="27" t="s">
        <v>13</v>
      </c>
      <c r="D12" s="27"/>
      <c r="F12" s="2"/>
      <c r="G12" s="2"/>
      <c r="H12" s="2">
        <v>2.6</v>
      </c>
      <c r="K12" s="31">
        <v>-10.0</v>
      </c>
    </row>
    <row r="13" ht="22.5" customHeight="1">
      <c r="B13" s="27" t="s">
        <v>14</v>
      </c>
      <c r="D13" s="27">
        <v>160.0</v>
      </c>
      <c r="H13" s="2">
        <v>5.0</v>
      </c>
      <c r="K13" s="31">
        <v>-1.5</v>
      </c>
    </row>
    <row r="14" ht="22.5" customHeight="1">
      <c r="B14" s="27" t="s">
        <v>15</v>
      </c>
      <c r="C14" s="27">
        <f>33</f>
        <v>33</v>
      </c>
      <c r="G14" s="2"/>
      <c r="H14" s="2">
        <v>24.0</v>
      </c>
      <c r="K14" s="31">
        <v>-1.5</v>
      </c>
    </row>
    <row r="15" ht="22.5" customHeight="1">
      <c r="B15" s="27" t="s">
        <v>16</v>
      </c>
      <c r="C15" s="27"/>
      <c r="G15" s="2"/>
      <c r="H15" s="2">
        <v>1.0</v>
      </c>
      <c r="K15" s="31">
        <v>-38.57</v>
      </c>
    </row>
    <row r="16" ht="22.5" customHeight="1">
      <c r="B16" s="27" t="s">
        <v>17</v>
      </c>
      <c r="G16" s="2"/>
      <c r="H16" s="2">
        <v>94.6</v>
      </c>
      <c r="I16" s="23"/>
      <c r="K16" s="31">
        <v>-577.18</v>
      </c>
    </row>
    <row r="17" ht="22.5" customHeight="1">
      <c r="B17" s="27" t="s">
        <v>74</v>
      </c>
      <c r="D17" s="27"/>
      <c r="G17" s="2"/>
      <c r="H17" s="2">
        <v>24.4</v>
      </c>
      <c r="K17" s="31">
        <v>-1.5</v>
      </c>
    </row>
    <row r="18" ht="22.5" customHeight="1">
      <c r="A18" s="33" t="s">
        <v>10</v>
      </c>
      <c r="B18" s="32"/>
      <c r="C18" s="33">
        <f t="shared" ref="C18:D18" si="2">SUM(C10:C17)</f>
        <v>33</v>
      </c>
      <c r="D18" s="33">
        <f t="shared" si="2"/>
        <v>189</v>
      </c>
      <c r="G18" s="2"/>
      <c r="H18" s="2">
        <v>4.9</v>
      </c>
      <c r="K18" s="31">
        <v>-11.3</v>
      </c>
    </row>
    <row r="19" ht="22.5" customHeight="1">
      <c r="A19" s="26" t="s">
        <v>19</v>
      </c>
      <c r="B19" s="27" t="s">
        <v>20</v>
      </c>
      <c r="C19" s="27"/>
      <c r="D19" s="27"/>
      <c r="G19" s="2"/>
      <c r="H19" s="2">
        <v>3.7</v>
      </c>
      <c r="K19" s="31">
        <v>-16.2</v>
      </c>
    </row>
    <row r="20" ht="22.5" customHeight="1">
      <c r="B20" s="27" t="s">
        <v>21</v>
      </c>
      <c r="C20" s="27"/>
      <c r="D20" s="27">
        <v>950.0</v>
      </c>
      <c r="E20" s="2"/>
      <c r="G20" s="2"/>
      <c r="H20" s="2">
        <v>14.7</v>
      </c>
      <c r="K20" s="31">
        <v>-10.01</v>
      </c>
    </row>
    <row r="21" ht="22.5" customHeight="1">
      <c r="B21" s="27"/>
      <c r="C21" s="27"/>
      <c r="D21" s="27"/>
      <c r="E21" s="2"/>
      <c r="G21" s="2"/>
      <c r="H21" s="2">
        <v>2.6</v>
      </c>
      <c r="K21" s="31">
        <v>-49.99</v>
      </c>
    </row>
    <row r="22" ht="22.5" customHeight="1">
      <c r="B22" s="27" t="s">
        <v>22</v>
      </c>
      <c r="C22" s="34"/>
      <c r="D22" s="27"/>
      <c r="G22" s="2"/>
      <c r="H22" s="2">
        <v>15.0</v>
      </c>
      <c r="K22" s="31">
        <v>-1.5</v>
      </c>
    </row>
    <row r="23" ht="22.5" customHeight="1">
      <c r="A23" s="33" t="s">
        <v>10</v>
      </c>
      <c r="B23" s="33"/>
      <c r="C23" s="33">
        <f t="shared" ref="C23:D23" si="3">SUM(C19:C22)</f>
        <v>0</v>
      </c>
      <c r="D23" s="33">
        <f t="shared" si="3"/>
        <v>950</v>
      </c>
      <c r="H23" s="2">
        <v>17.9</v>
      </c>
      <c r="K23" s="31">
        <v>-14.6</v>
      </c>
    </row>
    <row r="24" ht="22.5" customHeight="1">
      <c r="A24" s="26" t="s">
        <v>23</v>
      </c>
      <c r="B24" s="27" t="s">
        <v>24</v>
      </c>
      <c r="C24" s="27"/>
      <c r="D24" s="27"/>
      <c r="K24" s="31">
        <v>-5.4</v>
      </c>
    </row>
    <row r="25" ht="22.5" customHeight="1">
      <c r="B25" s="27" t="s">
        <v>25</v>
      </c>
      <c r="C25" s="27">
        <f>92+5</f>
        <v>97</v>
      </c>
      <c r="D25" s="27"/>
      <c r="K25" s="31">
        <v>-7.4</v>
      </c>
    </row>
    <row r="26" ht="22.5" customHeight="1">
      <c r="B26" s="27" t="s">
        <v>26</v>
      </c>
      <c r="D26" s="27"/>
    </row>
    <row r="27" ht="22.5" customHeight="1">
      <c r="B27" s="27" t="s">
        <v>27</v>
      </c>
      <c r="C27" s="27"/>
      <c r="D27" s="27">
        <f>59+70</f>
        <v>129</v>
      </c>
    </row>
    <row r="28" ht="22.5" customHeight="1">
      <c r="B28" s="27" t="s">
        <v>28</v>
      </c>
      <c r="C28" s="27">
        <v>26.0</v>
      </c>
      <c r="D28" s="27">
        <v>70.0</v>
      </c>
    </row>
    <row r="29" ht="22.5" customHeight="1">
      <c r="B29" s="27" t="s">
        <v>29</v>
      </c>
      <c r="C29" s="35"/>
      <c r="D29" s="36"/>
    </row>
    <row r="30" ht="22.5" customHeight="1">
      <c r="A30" s="46" t="s">
        <v>10</v>
      </c>
      <c r="B30" s="33"/>
      <c r="C30" s="33">
        <f t="shared" ref="C30:D30" si="4">sum(C24:C29)</f>
        <v>123</v>
      </c>
      <c r="D30" s="33">
        <f t="shared" si="4"/>
        <v>199</v>
      </c>
      <c r="G30" s="2" t="s">
        <v>30</v>
      </c>
    </row>
    <row r="31" ht="22.5" customHeight="1">
      <c r="A31" s="37" t="s">
        <v>10</v>
      </c>
    </row>
    <row r="32" ht="22.5" customHeight="1">
      <c r="A32" s="37" t="s">
        <v>31</v>
      </c>
      <c r="B32" s="38"/>
      <c r="C32" s="38"/>
      <c r="D32" s="34">
        <f>C9+C18+C23+C30</f>
        <v>285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22.5" customHeight="1">
      <c r="A33" s="37" t="s">
        <v>32</v>
      </c>
      <c r="B33" s="29"/>
      <c r="C33" s="29"/>
      <c r="D33" s="28">
        <f>D9+D18+D23+D30</f>
        <v>1752</v>
      </c>
    </row>
    <row r="34" ht="22.5" customHeight="1">
      <c r="A34" s="37" t="s">
        <v>33</v>
      </c>
      <c r="B34" s="29"/>
      <c r="C34" s="29"/>
      <c r="D34" s="30">
        <f>(D33-D32)/2</f>
        <v>733.5</v>
      </c>
    </row>
    <row r="35">
      <c r="A35" s="14"/>
    </row>
    <row r="36">
      <c r="A36" s="2" t="s">
        <v>34</v>
      </c>
    </row>
    <row r="37">
      <c r="A37" s="2"/>
      <c r="B37" s="2"/>
      <c r="E37" s="39"/>
      <c r="F37" s="39"/>
      <c r="H37" s="39"/>
      <c r="I37" s="39"/>
    </row>
    <row r="38" ht="22.5" customHeight="1">
      <c r="A38" s="25" t="s">
        <v>35</v>
      </c>
      <c r="B38" s="25" t="s">
        <v>36</v>
      </c>
      <c r="E38" s="25" t="s">
        <v>37</v>
      </c>
      <c r="F38" s="25" t="s">
        <v>36</v>
      </c>
      <c r="H38" s="15" t="s">
        <v>38</v>
      </c>
      <c r="I38" s="16">
        <f>B45-F45</f>
        <v>-378.5</v>
      </c>
    </row>
    <row r="39" ht="22.5" customHeight="1">
      <c r="A39" s="40" t="s">
        <v>39</v>
      </c>
      <c r="B39" s="41">
        <f>D34</f>
        <v>733.5</v>
      </c>
      <c r="E39" s="40" t="s">
        <v>40</v>
      </c>
      <c r="F39" s="42">
        <v>900.0</v>
      </c>
    </row>
    <row r="40" ht="22.5" customHeight="1">
      <c r="A40" s="40" t="s">
        <v>41</v>
      </c>
      <c r="B40" s="40">
        <v>-277.0</v>
      </c>
      <c r="E40" s="43" t="s">
        <v>82</v>
      </c>
      <c r="F40" s="40">
        <v>45.0</v>
      </c>
      <c r="H40" s="3" t="s">
        <v>42</v>
      </c>
    </row>
    <row r="41" ht="22.5" customHeight="1">
      <c r="A41" s="40" t="s">
        <v>43</v>
      </c>
      <c r="B41" s="40">
        <v>115.0</v>
      </c>
      <c r="D41" s="2"/>
      <c r="E41" s="40"/>
      <c r="F41" s="42">
        <v>5.0</v>
      </c>
      <c r="G41" s="2"/>
      <c r="H41" s="15" t="s">
        <v>44</v>
      </c>
      <c r="I41" s="20">
        <f>D18/2</f>
        <v>94.5</v>
      </c>
    </row>
    <row r="42" ht="22.5" customHeight="1">
      <c r="A42" s="40"/>
      <c r="B42" s="40"/>
      <c r="E42" s="40"/>
      <c r="F42" s="42"/>
      <c r="H42" s="15" t="s">
        <v>45</v>
      </c>
      <c r="I42" s="20">
        <f>D9/2</f>
        <v>207</v>
      </c>
    </row>
    <row r="43" ht="22.5" customHeight="1">
      <c r="A43" s="40"/>
      <c r="B43" s="40"/>
      <c r="E43" s="40"/>
      <c r="F43" s="40"/>
      <c r="H43" s="15" t="s">
        <v>46</v>
      </c>
      <c r="I43" s="20">
        <f>D23/2</f>
        <v>475</v>
      </c>
    </row>
    <row r="44" ht="22.5" customHeight="1">
      <c r="A44" s="40"/>
      <c r="B44" s="44"/>
      <c r="E44" s="40"/>
      <c r="F44" s="40"/>
      <c r="H44" s="15" t="s">
        <v>47</v>
      </c>
      <c r="I44" s="20">
        <f>D30/2</f>
        <v>99.5</v>
      </c>
    </row>
    <row r="45" ht="22.5" customHeight="1">
      <c r="A45" s="40" t="s">
        <v>10</v>
      </c>
      <c r="B45" s="45">
        <f>sum(B39:B44)</f>
        <v>571.5</v>
      </c>
      <c r="E45" s="40" t="s">
        <v>10</v>
      </c>
      <c r="F45" s="41">
        <f>sum(F39:F44)</f>
        <v>950</v>
      </c>
      <c r="H45" s="15" t="s">
        <v>48</v>
      </c>
      <c r="I45" s="20">
        <f>sum(I41:I44)</f>
        <v>876</v>
      </c>
    </row>
    <row r="48">
      <c r="A48" s="2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</sheetData>
  <drawing r:id="rId2"/>
  <legacyDrawing r:id="rId3"/>
  <tableParts count="3">
    <tablePart r:id="rId7"/>
    <tablePart r:id="rId8"/>
    <tablePart r:id="rId9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23.38"/>
    <col customWidth="1" min="5" max="5" width="15.5"/>
    <col customWidth="1" min="8" max="8" width="25.25"/>
    <col customWidth="1" min="10" max="10" width="19.75"/>
  </cols>
  <sheetData>
    <row r="1" ht="22.5" customHeight="1">
      <c r="A1" s="24" t="s">
        <v>80</v>
      </c>
      <c r="B1" s="24" t="s">
        <v>81</v>
      </c>
      <c r="C1" s="25" t="s">
        <v>0</v>
      </c>
      <c r="D1" s="25" t="s">
        <v>1</v>
      </c>
      <c r="F1" s="2"/>
    </row>
    <row r="2" ht="22.5" customHeight="1">
      <c r="A2" s="26" t="s">
        <v>2</v>
      </c>
      <c r="B2" s="27" t="s">
        <v>3</v>
      </c>
      <c r="C2" s="27"/>
      <c r="D2" s="28">
        <f>3+15+5</f>
        <v>23</v>
      </c>
      <c r="F2" s="2"/>
      <c r="G2" s="2"/>
      <c r="H2" s="2"/>
      <c r="I2" s="2"/>
      <c r="J2" s="2"/>
    </row>
    <row r="3" ht="22.5" customHeight="1">
      <c r="A3" s="29"/>
      <c r="B3" s="28" t="s">
        <v>4</v>
      </c>
      <c r="C3" s="29"/>
      <c r="D3" s="28"/>
      <c r="E3" s="13"/>
      <c r="F3" s="3"/>
      <c r="G3" s="13"/>
      <c r="H3" s="3"/>
      <c r="I3" s="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4.75" customHeight="1">
      <c r="B4" s="27" t="s">
        <v>5</v>
      </c>
      <c r="C4" s="27"/>
      <c r="D4" s="27">
        <v>35.0</v>
      </c>
      <c r="F4" s="2"/>
      <c r="G4" s="2"/>
      <c r="H4" s="2"/>
      <c r="I4" s="2"/>
      <c r="J4" s="2"/>
    </row>
    <row r="5" ht="22.5" customHeight="1">
      <c r="B5" s="27" t="s">
        <v>6</v>
      </c>
      <c r="C5" s="27">
        <f>39+25+33</f>
        <v>97</v>
      </c>
      <c r="D5" s="30">
        <f>100+62+69+46</f>
        <v>277</v>
      </c>
      <c r="F5" s="2"/>
      <c r="G5" s="2"/>
      <c r="H5" s="3"/>
      <c r="I5" s="2"/>
      <c r="J5" s="2"/>
    </row>
    <row r="6" ht="22.5" customHeight="1">
      <c r="B6" s="27"/>
      <c r="C6" s="27"/>
      <c r="D6" s="30"/>
      <c r="F6" s="2"/>
      <c r="G6" s="2"/>
      <c r="H6" s="3" t="s">
        <v>83</v>
      </c>
      <c r="I6" s="2"/>
      <c r="J6" s="2" t="s">
        <v>84</v>
      </c>
    </row>
    <row r="7" ht="22.5" customHeight="1">
      <c r="A7" s="26" t="s">
        <v>7</v>
      </c>
      <c r="B7" s="27" t="s">
        <v>8</v>
      </c>
      <c r="D7" s="30"/>
      <c r="F7" s="2"/>
      <c r="G7" s="2"/>
      <c r="H7" s="47"/>
      <c r="J7" s="47">
        <v>33.71</v>
      </c>
      <c r="K7" s="31"/>
    </row>
    <row r="8" ht="22.5" customHeight="1">
      <c r="B8" s="27" t="s">
        <v>9</v>
      </c>
      <c r="C8" s="27"/>
      <c r="D8" s="30"/>
      <c r="F8" s="2"/>
      <c r="G8" s="2"/>
      <c r="H8" s="47"/>
      <c r="J8" s="47">
        <v>23.42</v>
      </c>
      <c r="K8" s="31"/>
    </row>
    <row r="9" ht="22.5" customHeight="1">
      <c r="B9" s="32"/>
      <c r="C9" s="33">
        <f t="shared" ref="C9:D9" si="1">SUM(C2:C8)</f>
        <v>97</v>
      </c>
      <c r="D9" s="33">
        <f t="shared" si="1"/>
        <v>335</v>
      </c>
      <c r="E9" s="2"/>
      <c r="F9" s="2"/>
      <c r="G9" s="2"/>
      <c r="H9" s="47">
        <v>1.5</v>
      </c>
      <c r="J9" s="47">
        <v>52.0</v>
      </c>
      <c r="K9" s="31"/>
    </row>
    <row r="10" ht="22.5" customHeight="1">
      <c r="B10" s="27" t="s">
        <v>11</v>
      </c>
      <c r="D10" s="27">
        <v>29.0</v>
      </c>
      <c r="F10" s="2"/>
      <c r="G10" s="2"/>
      <c r="H10" s="47">
        <v>38.91</v>
      </c>
      <c r="J10" s="47">
        <v>5.0</v>
      </c>
      <c r="K10" s="31"/>
    </row>
    <row r="11" ht="22.5" customHeight="1">
      <c r="B11" s="27" t="s">
        <v>12</v>
      </c>
      <c r="D11" s="27"/>
      <c r="E11" s="7"/>
      <c r="F11" s="2"/>
      <c r="G11" s="2"/>
      <c r="H11" s="47">
        <v>32.0</v>
      </c>
      <c r="J11" s="47">
        <v>2.4</v>
      </c>
      <c r="K11" s="31"/>
    </row>
    <row r="12" ht="22.5" customHeight="1">
      <c r="B12" s="27" t="s">
        <v>13</v>
      </c>
      <c r="D12" s="27"/>
      <c r="F12" s="2"/>
      <c r="G12" s="2"/>
      <c r="H12" s="47">
        <v>21.0</v>
      </c>
      <c r="J12" s="47">
        <v>3.4</v>
      </c>
      <c r="K12" s="31"/>
    </row>
    <row r="13" ht="22.5" customHeight="1">
      <c r="B13" s="27" t="s">
        <v>14</v>
      </c>
      <c r="D13" s="27">
        <v>137.0</v>
      </c>
      <c r="H13" s="47">
        <v>12.34</v>
      </c>
      <c r="J13" s="47">
        <v>14.8</v>
      </c>
      <c r="K13" s="31"/>
    </row>
    <row r="14" ht="22.5" customHeight="1">
      <c r="B14" s="27" t="s">
        <v>15</v>
      </c>
      <c r="C14" s="27">
        <f>33</f>
        <v>33</v>
      </c>
      <c r="G14" s="2"/>
      <c r="H14" s="47">
        <v>110.61</v>
      </c>
      <c r="J14" s="47">
        <v>11.2</v>
      </c>
      <c r="K14" s="31"/>
    </row>
    <row r="15" ht="22.5" customHeight="1">
      <c r="B15" s="27" t="s">
        <v>16</v>
      </c>
      <c r="C15" s="27"/>
      <c r="G15" s="2"/>
      <c r="K15" s="31"/>
    </row>
    <row r="16" ht="22.5" customHeight="1">
      <c r="B16" s="27" t="s">
        <v>17</v>
      </c>
      <c r="D16" s="27">
        <v>185.0</v>
      </c>
      <c r="G16" s="2"/>
      <c r="I16" s="23"/>
      <c r="K16" s="31"/>
    </row>
    <row r="17" ht="22.5" customHeight="1">
      <c r="B17" s="27" t="s">
        <v>74</v>
      </c>
      <c r="C17" s="27">
        <v>8.0</v>
      </c>
      <c r="D17" s="27"/>
      <c r="G17" s="2"/>
      <c r="K17" s="31"/>
    </row>
    <row r="18" ht="22.5" customHeight="1">
      <c r="A18" s="33" t="s">
        <v>10</v>
      </c>
      <c r="B18" s="32"/>
      <c r="C18" s="33">
        <f t="shared" ref="C18:D18" si="2">SUM(C10:C17)</f>
        <v>41</v>
      </c>
      <c r="D18" s="33">
        <f t="shared" si="2"/>
        <v>351</v>
      </c>
      <c r="G18" s="2"/>
      <c r="K18" s="31"/>
    </row>
    <row r="19" ht="22.5" customHeight="1">
      <c r="A19" s="26" t="s">
        <v>19</v>
      </c>
      <c r="B19" s="27" t="s">
        <v>20</v>
      </c>
      <c r="C19" s="27"/>
      <c r="D19" s="27"/>
      <c r="G19" s="2"/>
      <c r="K19" s="31"/>
    </row>
    <row r="20" ht="22.5" customHeight="1">
      <c r="B20" s="27" t="s">
        <v>21</v>
      </c>
      <c r="C20" s="27">
        <f>216+20</f>
        <v>236</v>
      </c>
      <c r="D20" s="27">
        <f>120+5+121</f>
        <v>246</v>
      </c>
      <c r="E20" s="2"/>
      <c r="G20" s="2"/>
      <c r="K20" s="31"/>
    </row>
    <row r="21" ht="22.5" customHeight="1">
      <c r="B21" s="27"/>
      <c r="C21" s="27"/>
      <c r="D21" s="27"/>
      <c r="E21" s="2"/>
      <c r="G21" s="2"/>
      <c r="K21" s="31"/>
    </row>
    <row r="22" ht="22.5" customHeight="1">
      <c r="B22" s="27" t="s">
        <v>22</v>
      </c>
      <c r="C22" s="34"/>
      <c r="D22" s="27"/>
      <c r="G22" s="2"/>
      <c r="K22" s="31"/>
    </row>
    <row r="23" ht="22.5" customHeight="1">
      <c r="A23" s="33" t="s">
        <v>10</v>
      </c>
      <c r="B23" s="33"/>
      <c r="C23" s="33">
        <f t="shared" ref="C23:D23" si="3">SUM(C19:C22)</f>
        <v>236</v>
      </c>
      <c r="D23" s="33">
        <f t="shared" si="3"/>
        <v>246</v>
      </c>
      <c r="K23" s="31"/>
    </row>
    <row r="24" ht="22.5" customHeight="1">
      <c r="A24" s="26" t="s">
        <v>23</v>
      </c>
      <c r="B24" s="27" t="s">
        <v>24</v>
      </c>
      <c r="C24" s="27"/>
      <c r="D24" s="27">
        <v>6.0</v>
      </c>
      <c r="K24" s="31"/>
    </row>
    <row r="25" ht="22.5" customHeight="1">
      <c r="B25" s="27" t="s">
        <v>25</v>
      </c>
      <c r="C25" s="27"/>
      <c r="D25" s="27"/>
      <c r="K25" s="31"/>
    </row>
    <row r="26" ht="22.5" customHeight="1">
      <c r="B26" s="27" t="s">
        <v>26</v>
      </c>
      <c r="D26" s="27"/>
    </row>
    <row r="27" ht="22.5" customHeight="1">
      <c r="B27" s="27" t="s">
        <v>27</v>
      </c>
      <c r="C27" s="27">
        <v>50.0</v>
      </c>
      <c r="D27" s="27"/>
    </row>
    <row r="28" ht="22.5" customHeight="1">
      <c r="B28" s="27" t="s">
        <v>28</v>
      </c>
      <c r="C28" s="27"/>
      <c r="D28" s="27"/>
    </row>
    <row r="29" ht="22.5" customHeight="1">
      <c r="B29" s="27" t="s">
        <v>29</v>
      </c>
      <c r="C29" s="35"/>
      <c r="D29" s="36"/>
    </row>
    <row r="30" ht="22.5" customHeight="1">
      <c r="A30" s="46" t="s">
        <v>10</v>
      </c>
      <c r="B30" s="33"/>
      <c r="C30" s="33">
        <f t="shared" ref="C30:D30" si="4">sum(C24:C29)</f>
        <v>50</v>
      </c>
      <c r="D30" s="33">
        <f t="shared" si="4"/>
        <v>6</v>
      </c>
      <c r="G30" s="2" t="s">
        <v>30</v>
      </c>
    </row>
    <row r="31" ht="22.5" customHeight="1">
      <c r="A31" s="37" t="s">
        <v>10</v>
      </c>
    </row>
    <row r="32" ht="22.5" customHeight="1">
      <c r="A32" s="37" t="s">
        <v>31</v>
      </c>
      <c r="B32" s="38"/>
      <c r="C32" s="38"/>
      <c r="D32" s="34">
        <f>C9+C18+C23+C30</f>
        <v>424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22.5" customHeight="1">
      <c r="A33" s="37" t="s">
        <v>32</v>
      </c>
      <c r="B33" s="29"/>
      <c r="C33" s="29"/>
      <c r="D33" s="28">
        <f>D9+D18+D23+D30</f>
        <v>938</v>
      </c>
    </row>
    <row r="34" ht="22.5" customHeight="1">
      <c r="A34" s="37" t="s">
        <v>33</v>
      </c>
      <c r="B34" s="29"/>
      <c r="C34" s="29"/>
      <c r="D34" s="30">
        <f>(D33-D32)/2</f>
        <v>257</v>
      </c>
    </row>
    <row r="35">
      <c r="A35" s="14"/>
    </row>
    <row r="36">
      <c r="A36" s="2" t="s">
        <v>34</v>
      </c>
    </row>
    <row r="37">
      <c r="A37" s="2"/>
      <c r="B37" s="2"/>
      <c r="E37" s="39"/>
      <c r="F37" s="39"/>
      <c r="H37" s="39"/>
      <c r="I37" s="39"/>
    </row>
    <row r="38" ht="22.5" customHeight="1">
      <c r="A38" s="25" t="s">
        <v>35</v>
      </c>
      <c r="B38" s="25" t="s">
        <v>36</v>
      </c>
      <c r="E38" s="25" t="s">
        <v>37</v>
      </c>
      <c r="F38" s="25" t="s">
        <v>36</v>
      </c>
      <c r="H38" s="15" t="s">
        <v>38</v>
      </c>
      <c r="I38" s="16">
        <f>B45-F45</f>
        <v>-329</v>
      </c>
    </row>
    <row r="39" ht="22.5" customHeight="1">
      <c r="A39" s="40" t="s">
        <v>39</v>
      </c>
      <c r="B39" s="41">
        <f>D34</f>
        <v>257</v>
      </c>
      <c r="E39" s="40" t="s">
        <v>40</v>
      </c>
      <c r="F39" s="42">
        <v>300.0</v>
      </c>
    </row>
    <row r="40" ht="22.5" customHeight="1">
      <c r="A40" s="40" t="s">
        <v>41</v>
      </c>
      <c r="B40" s="40">
        <v>-379.0</v>
      </c>
      <c r="E40" s="43" t="s">
        <v>85</v>
      </c>
      <c r="F40" s="40">
        <v>22.0</v>
      </c>
      <c r="H40" s="3" t="s">
        <v>42</v>
      </c>
    </row>
    <row r="41" ht="22.5" customHeight="1">
      <c r="A41" s="40" t="s">
        <v>43</v>
      </c>
      <c r="B41" s="40">
        <v>115.0</v>
      </c>
      <c r="D41" s="2"/>
      <c r="E41" s="40"/>
      <c r="F41" s="42"/>
      <c r="G41" s="2"/>
      <c r="H41" s="15" t="s">
        <v>44</v>
      </c>
      <c r="I41" s="20">
        <f>D18/2</f>
        <v>175.5</v>
      </c>
    </row>
    <row r="42" ht="22.5" customHeight="1">
      <c r="A42" s="40"/>
      <c r="B42" s="40"/>
      <c r="E42" s="40"/>
      <c r="F42" s="42"/>
      <c r="H42" s="15" t="s">
        <v>45</v>
      </c>
      <c r="I42" s="20">
        <f>D9/2</f>
        <v>167.5</v>
      </c>
    </row>
    <row r="43" ht="22.5" customHeight="1">
      <c r="A43" s="40"/>
      <c r="B43" s="40"/>
      <c r="E43" s="40"/>
      <c r="F43" s="40"/>
      <c r="H43" s="15" t="s">
        <v>46</v>
      </c>
      <c r="I43" s="20">
        <f>D23/2</f>
        <v>123</v>
      </c>
    </row>
    <row r="44" ht="22.5" customHeight="1">
      <c r="A44" s="40"/>
      <c r="B44" s="44"/>
      <c r="E44" s="40"/>
      <c r="F44" s="40"/>
      <c r="H44" s="15" t="s">
        <v>47</v>
      </c>
      <c r="I44" s="20">
        <f>D30/2</f>
        <v>3</v>
      </c>
    </row>
    <row r="45" ht="22.5" customHeight="1">
      <c r="A45" s="40" t="s">
        <v>10</v>
      </c>
      <c r="B45" s="45">
        <f>sum(B39:B44)</f>
        <v>-7</v>
      </c>
      <c r="E45" s="40" t="s">
        <v>10</v>
      </c>
      <c r="F45" s="41">
        <f>sum(F39:F44)</f>
        <v>322</v>
      </c>
      <c r="H45" s="15" t="s">
        <v>48</v>
      </c>
      <c r="I45" s="20">
        <f>sum(I41:I44)</f>
        <v>469</v>
      </c>
    </row>
    <row r="48">
      <c r="A48" s="2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</sheetData>
  <drawing r:id="rId2"/>
  <legacyDrawing r:id="rId3"/>
  <tableParts count="3">
    <tablePart r:id="rId7"/>
    <tablePart r:id="rId8"/>
    <tablePart r:id="rId9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23.38"/>
    <col customWidth="1" min="5" max="5" width="15.5"/>
    <col customWidth="1" min="8" max="8" width="25.25"/>
    <col customWidth="1" min="10" max="10" width="19.75"/>
  </cols>
  <sheetData>
    <row r="1" ht="22.5" customHeight="1">
      <c r="A1" s="24" t="s">
        <v>80</v>
      </c>
      <c r="B1" s="24" t="s">
        <v>81</v>
      </c>
      <c r="C1" s="25" t="s">
        <v>0</v>
      </c>
      <c r="D1" s="25" t="s">
        <v>1</v>
      </c>
      <c r="F1" s="2"/>
    </row>
    <row r="2" ht="22.5" customHeight="1">
      <c r="A2" s="26" t="s">
        <v>2</v>
      </c>
      <c r="B2" s="27" t="s">
        <v>3</v>
      </c>
      <c r="C2" s="27"/>
      <c r="D2" s="28">
        <f>3+5</f>
        <v>8</v>
      </c>
      <c r="F2" s="2"/>
      <c r="G2" s="2"/>
      <c r="H2" s="2"/>
      <c r="I2" s="2"/>
      <c r="J2" s="2"/>
    </row>
    <row r="3" ht="22.5" customHeight="1">
      <c r="A3" s="29"/>
      <c r="B3" s="28" t="s">
        <v>4</v>
      </c>
      <c r="C3" s="29"/>
      <c r="D3" s="28"/>
      <c r="E3" s="13"/>
      <c r="F3" s="3"/>
      <c r="G3" s="13"/>
      <c r="H3" s="3"/>
      <c r="I3" s="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4.75" customHeight="1">
      <c r="B4" s="27" t="s">
        <v>5</v>
      </c>
      <c r="C4" s="27"/>
      <c r="D4" s="27">
        <f>29+15+18+40</f>
        <v>102</v>
      </c>
      <c r="F4" s="2"/>
      <c r="G4" s="2"/>
      <c r="H4" s="2"/>
      <c r="I4" s="2"/>
      <c r="J4" s="2"/>
    </row>
    <row r="5" ht="22.5" customHeight="1">
      <c r="B5" s="27" t="s">
        <v>6</v>
      </c>
      <c r="C5" s="27">
        <f>25+22+32</f>
        <v>79</v>
      </c>
      <c r="D5" s="30">
        <f>43+54+61+18+83</f>
        <v>259</v>
      </c>
      <c r="F5" s="2"/>
      <c r="G5" s="2"/>
      <c r="H5" s="3"/>
      <c r="I5" s="2"/>
      <c r="J5" s="2"/>
    </row>
    <row r="6" ht="22.5" customHeight="1">
      <c r="B6" s="27"/>
      <c r="C6" s="27"/>
      <c r="D6" s="30"/>
      <c r="F6" s="2"/>
      <c r="G6" s="2"/>
      <c r="H6" s="3" t="s">
        <v>83</v>
      </c>
      <c r="I6" s="2"/>
      <c r="J6" s="2" t="s">
        <v>84</v>
      </c>
    </row>
    <row r="7" ht="22.5" customHeight="1">
      <c r="A7" s="26" t="s">
        <v>7</v>
      </c>
      <c r="B7" s="27" t="s">
        <v>8</v>
      </c>
      <c r="D7" s="30"/>
      <c r="F7" s="2"/>
      <c r="G7" s="2"/>
      <c r="H7" s="47"/>
      <c r="J7" s="47">
        <v>33.71</v>
      </c>
      <c r="K7" s="31"/>
    </row>
    <row r="8" ht="22.5" customHeight="1">
      <c r="B8" s="27" t="s">
        <v>9</v>
      </c>
      <c r="C8" s="27"/>
      <c r="D8" s="30"/>
      <c r="F8" s="2"/>
      <c r="G8" s="2"/>
      <c r="H8" s="47"/>
      <c r="J8" s="47">
        <v>23.42</v>
      </c>
      <c r="K8" s="31"/>
    </row>
    <row r="9" ht="22.5" customHeight="1">
      <c r="B9" s="32"/>
      <c r="C9" s="33">
        <f t="shared" ref="C9:D9" si="1">SUM(C2:C8)</f>
        <v>79</v>
      </c>
      <c r="D9" s="33">
        <f t="shared" si="1"/>
        <v>369</v>
      </c>
      <c r="E9" s="2"/>
      <c r="F9" s="2"/>
      <c r="G9" s="2"/>
      <c r="H9" s="47">
        <v>1.5</v>
      </c>
      <c r="J9" s="47">
        <v>52.0</v>
      </c>
      <c r="K9" s="31"/>
    </row>
    <row r="10" ht="22.5" customHeight="1">
      <c r="B10" s="27" t="s">
        <v>11</v>
      </c>
      <c r="D10" s="27">
        <v>29.0</v>
      </c>
      <c r="F10" s="2"/>
      <c r="G10" s="2"/>
      <c r="H10" s="47">
        <v>38.91</v>
      </c>
      <c r="J10" s="47">
        <v>5.0</v>
      </c>
      <c r="K10" s="31"/>
    </row>
    <row r="11" ht="22.5" customHeight="1">
      <c r="B11" s="27" t="s">
        <v>12</v>
      </c>
      <c r="D11" s="27"/>
      <c r="E11" s="7"/>
      <c r="F11" s="2"/>
      <c r="G11" s="2"/>
      <c r="H11" s="47">
        <v>32.0</v>
      </c>
      <c r="J11" s="47">
        <v>2.4</v>
      </c>
      <c r="K11" s="31"/>
    </row>
    <row r="12" ht="22.5" customHeight="1">
      <c r="B12" s="27" t="s">
        <v>13</v>
      </c>
      <c r="D12" s="27"/>
      <c r="F12" s="2"/>
      <c r="G12" s="2"/>
      <c r="H12" s="47">
        <v>21.0</v>
      </c>
      <c r="J12" s="47">
        <v>3.4</v>
      </c>
      <c r="K12" s="31"/>
    </row>
    <row r="13" ht="22.5" customHeight="1">
      <c r="B13" s="27" t="s">
        <v>14</v>
      </c>
      <c r="D13" s="27">
        <v>137.0</v>
      </c>
      <c r="H13" s="47">
        <v>12.34</v>
      </c>
      <c r="J13" s="47">
        <v>14.8</v>
      </c>
      <c r="K13" s="31"/>
    </row>
    <row r="14" ht="22.5" customHeight="1">
      <c r="B14" s="27" t="s">
        <v>15</v>
      </c>
      <c r="C14" s="27">
        <f>33</f>
        <v>33</v>
      </c>
      <c r="G14" s="2"/>
      <c r="H14" s="47">
        <v>110.61</v>
      </c>
      <c r="J14" s="47">
        <v>11.2</v>
      </c>
      <c r="K14" s="31"/>
    </row>
    <row r="15" ht="22.5" customHeight="1">
      <c r="B15" s="27" t="s">
        <v>16</v>
      </c>
      <c r="C15" s="27"/>
      <c r="G15" s="2"/>
      <c r="K15" s="31"/>
    </row>
    <row r="16" ht="22.5" customHeight="1">
      <c r="B16" s="27" t="s">
        <v>17</v>
      </c>
      <c r="D16" s="27"/>
      <c r="G16" s="2"/>
      <c r="I16" s="23"/>
      <c r="K16" s="31"/>
    </row>
    <row r="17" ht="22.5" customHeight="1">
      <c r="B17" s="27" t="s">
        <v>74</v>
      </c>
      <c r="C17" s="27"/>
      <c r="D17" s="27"/>
      <c r="G17" s="2"/>
      <c r="K17" s="31"/>
    </row>
    <row r="18" ht="22.5" customHeight="1">
      <c r="A18" s="33" t="s">
        <v>10</v>
      </c>
      <c r="B18" s="32"/>
      <c r="C18" s="33">
        <f t="shared" ref="C18:D18" si="2">SUM(C10:C17)</f>
        <v>33</v>
      </c>
      <c r="D18" s="33">
        <f t="shared" si="2"/>
        <v>166</v>
      </c>
      <c r="G18" s="2"/>
      <c r="K18" s="31"/>
    </row>
    <row r="19" ht="22.5" customHeight="1">
      <c r="A19" s="26" t="s">
        <v>19</v>
      </c>
      <c r="B19" s="27" t="s">
        <v>20</v>
      </c>
      <c r="C19" s="27">
        <f>31</f>
        <v>31</v>
      </c>
      <c r="D19" s="27">
        <v>52.0</v>
      </c>
      <c r="G19" s="2"/>
      <c r="K19" s="31"/>
    </row>
    <row r="20" ht="22.5" customHeight="1">
      <c r="B20" s="27" t="s">
        <v>21</v>
      </c>
      <c r="C20" s="27">
        <f>86+7+26+13</f>
        <v>132</v>
      </c>
      <c r="D20" s="27">
        <f>11+39</f>
        <v>50</v>
      </c>
      <c r="E20" s="2"/>
      <c r="G20" s="2"/>
      <c r="K20" s="31"/>
    </row>
    <row r="21" ht="22.5" customHeight="1">
      <c r="B21" s="27" t="s">
        <v>86</v>
      </c>
      <c r="C21" s="27"/>
      <c r="D21" s="27">
        <v>284.0</v>
      </c>
      <c r="E21" s="2"/>
      <c r="G21" s="2"/>
      <c r="K21" s="31"/>
    </row>
    <row r="22" ht="22.5" customHeight="1">
      <c r="B22" s="27" t="s">
        <v>22</v>
      </c>
      <c r="C22" s="34"/>
      <c r="D22" s="27"/>
      <c r="G22" s="2"/>
      <c r="K22" s="31"/>
    </row>
    <row r="23" ht="22.5" customHeight="1">
      <c r="A23" s="33" t="s">
        <v>10</v>
      </c>
      <c r="B23" s="33"/>
      <c r="C23" s="33">
        <f t="shared" ref="C23:D23" si="3">SUM(C19:C22)</f>
        <v>163</v>
      </c>
      <c r="D23" s="33">
        <f t="shared" si="3"/>
        <v>386</v>
      </c>
      <c r="K23" s="31"/>
    </row>
    <row r="24" ht="22.5" customHeight="1">
      <c r="A24" s="26" t="s">
        <v>23</v>
      </c>
      <c r="B24" s="27" t="s">
        <v>24</v>
      </c>
      <c r="C24" s="27"/>
      <c r="D24" s="27"/>
      <c r="K24" s="31"/>
    </row>
    <row r="25" ht="22.5" customHeight="1">
      <c r="B25" s="27" t="s">
        <v>25</v>
      </c>
      <c r="C25" s="27"/>
      <c r="D25" s="27">
        <f>30+20</f>
        <v>50</v>
      </c>
      <c r="K25" s="31"/>
    </row>
    <row r="26" ht="22.5" customHeight="1">
      <c r="B26" s="27" t="s">
        <v>26</v>
      </c>
      <c r="D26" s="27"/>
    </row>
    <row r="27" ht="22.5" customHeight="1">
      <c r="B27" s="27" t="s">
        <v>27</v>
      </c>
      <c r="C27" s="27"/>
      <c r="D27" s="27"/>
    </row>
    <row r="28" ht="22.5" customHeight="1">
      <c r="B28" s="27" t="s">
        <v>28</v>
      </c>
      <c r="C28" s="27"/>
      <c r="D28" s="27"/>
    </row>
    <row r="29" ht="22.5" customHeight="1">
      <c r="B29" s="27" t="s">
        <v>29</v>
      </c>
      <c r="C29" s="35"/>
      <c r="D29" s="36"/>
    </row>
    <row r="30" ht="22.5" customHeight="1">
      <c r="A30" s="46" t="s">
        <v>10</v>
      </c>
      <c r="B30" s="33"/>
      <c r="C30" s="33">
        <f t="shared" ref="C30:D30" si="4">sum(C24:C29)</f>
        <v>0</v>
      </c>
      <c r="D30" s="33">
        <f t="shared" si="4"/>
        <v>50</v>
      </c>
      <c r="G30" s="2" t="s">
        <v>30</v>
      </c>
    </row>
    <row r="31" ht="22.5" customHeight="1">
      <c r="A31" s="37" t="s">
        <v>10</v>
      </c>
    </row>
    <row r="32" ht="22.5" customHeight="1">
      <c r="A32" s="37" t="s">
        <v>31</v>
      </c>
      <c r="B32" s="38"/>
      <c r="C32" s="38"/>
      <c r="D32" s="34">
        <f>C9+C18+C23+C30</f>
        <v>275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22.5" customHeight="1">
      <c r="A33" s="37" t="s">
        <v>32</v>
      </c>
      <c r="B33" s="29"/>
      <c r="C33" s="29"/>
      <c r="D33" s="28">
        <f>D9+D18+D23+D30</f>
        <v>971</v>
      </c>
    </row>
    <row r="34" ht="22.5" customHeight="1">
      <c r="A34" s="37" t="s">
        <v>33</v>
      </c>
      <c r="B34" s="29"/>
      <c r="C34" s="29"/>
      <c r="D34" s="30">
        <f>(D33-D32)/2</f>
        <v>348</v>
      </c>
    </row>
    <row r="35">
      <c r="A35" s="14"/>
    </row>
    <row r="36">
      <c r="A36" s="2" t="s">
        <v>34</v>
      </c>
    </row>
    <row r="37">
      <c r="A37" s="2"/>
      <c r="B37" s="2"/>
      <c r="E37" s="39"/>
      <c r="F37" s="39"/>
      <c r="H37" s="39"/>
      <c r="I37" s="39"/>
    </row>
    <row r="38" ht="22.5" customHeight="1">
      <c r="A38" s="25" t="s">
        <v>35</v>
      </c>
      <c r="B38" s="25" t="s">
        <v>36</v>
      </c>
      <c r="E38" s="25" t="s">
        <v>37</v>
      </c>
      <c r="F38" s="25" t="s">
        <v>36</v>
      </c>
      <c r="H38" s="15" t="s">
        <v>38</v>
      </c>
      <c r="I38" s="16">
        <f>B45-F45</f>
        <v>-320</v>
      </c>
    </row>
    <row r="39" ht="22.5" customHeight="1">
      <c r="A39" s="40" t="s">
        <v>39</v>
      </c>
      <c r="B39" s="41">
        <f>D34</f>
        <v>348</v>
      </c>
      <c r="E39" s="40" t="s">
        <v>40</v>
      </c>
      <c r="F39" s="42">
        <v>500.0</v>
      </c>
    </row>
    <row r="40" ht="22.5" customHeight="1">
      <c r="A40" s="40" t="s">
        <v>41</v>
      </c>
      <c r="B40" s="40">
        <v>-313.0</v>
      </c>
      <c r="E40" s="43"/>
      <c r="F40" s="40"/>
      <c r="H40" s="3" t="s">
        <v>42</v>
      </c>
    </row>
    <row r="41" ht="22.5" customHeight="1">
      <c r="A41" s="40" t="s">
        <v>43</v>
      </c>
      <c r="B41" s="40">
        <v>115.0</v>
      </c>
      <c r="D41" s="2"/>
      <c r="E41" s="40"/>
      <c r="F41" s="42"/>
      <c r="G41" s="2"/>
      <c r="H41" s="15" t="s">
        <v>44</v>
      </c>
      <c r="I41" s="20">
        <f>D18/2</f>
        <v>83</v>
      </c>
    </row>
    <row r="42" ht="22.5" customHeight="1">
      <c r="A42" s="40"/>
      <c r="B42" s="40">
        <v>30.0</v>
      </c>
      <c r="E42" s="40"/>
      <c r="F42" s="42"/>
      <c r="H42" s="15" t="s">
        <v>45</v>
      </c>
      <c r="I42" s="20">
        <f>D9/2</f>
        <v>184.5</v>
      </c>
    </row>
    <row r="43" ht="22.5" customHeight="1">
      <c r="A43" s="40"/>
      <c r="B43" s="40"/>
      <c r="E43" s="40"/>
      <c r="F43" s="40"/>
      <c r="H43" s="15" t="s">
        <v>46</v>
      </c>
      <c r="I43" s="20">
        <f>D23/2</f>
        <v>193</v>
      </c>
    </row>
    <row r="44" ht="22.5" customHeight="1">
      <c r="A44" s="40"/>
      <c r="B44" s="44"/>
      <c r="E44" s="40"/>
      <c r="F44" s="40"/>
      <c r="H44" s="15" t="s">
        <v>47</v>
      </c>
      <c r="I44" s="20">
        <f>D30/2</f>
        <v>25</v>
      </c>
    </row>
    <row r="45" ht="22.5" customHeight="1">
      <c r="A45" s="40" t="s">
        <v>10</v>
      </c>
      <c r="B45" s="45">
        <f>sum(B39:B44)</f>
        <v>180</v>
      </c>
      <c r="E45" s="40" t="s">
        <v>10</v>
      </c>
      <c r="F45" s="41">
        <f>sum(F39:F44)</f>
        <v>500</v>
      </c>
      <c r="H45" s="15" t="s">
        <v>48</v>
      </c>
      <c r="I45" s="20">
        <f>sum(I41:I44)</f>
        <v>485.5</v>
      </c>
    </row>
    <row r="48">
      <c r="A48" s="2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</sheetData>
  <drawing r:id="rId2"/>
  <legacyDrawing r:id="rId3"/>
  <tableParts count="3">
    <tablePart r:id="rId7"/>
    <tablePart r:id="rId8"/>
    <tablePart r:id="rId9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23.38"/>
    <col customWidth="1" min="5" max="5" width="15.5"/>
    <col customWidth="1" min="8" max="8" width="25.25"/>
    <col customWidth="1" min="10" max="10" width="19.75"/>
  </cols>
  <sheetData>
    <row r="1" ht="22.5" customHeight="1">
      <c r="A1" s="24" t="s">
        <v>80</v>
      </c>
      <c r="B1" s="24" t="s">
        <v>81</v>
      </c>
      <c r="C1" s="25" t="s">
        <v>0</v>
      </c>
      <c r="D1" s="25" t="s">
        <v>1</v>
      </c>
      <c r="F1" s="2"/>
    </row>
    <row r="2" ht="22.5" customHeight="1">
      <c r="A2" s="26" t="s">
        <v>2</v>
      </c>
      <c r="B2" s="27" t="s">
        <v>3</v>
      </c>
      <c r="C2" s="27"/>
      <c r="D2" s="28">
        <f>5+3+18+10</f>
        <v>36</v>
      </c>
      <c r="F2" s="2"/>
      <c r="G2" s="2"/>
      <c r="H2" s="2"/>
      <c r="I2" s="2"/>
      <c r="J2" s="2"/>
    </row>
    <row r="3" ht="22.5" customHeight="1">
      <c r="A3" s="29"/>
      <c r="B3" s="28" t="s">
        <v>4</v>
      </c>
      <c r="C3" s="29"/>
      <c r="D3" s="28"/>
      <c r="E3" s="13"/>
      <c r="F3" s="3"/>
      <c r="G3" s="13"/>
      <c r="H3" s="3"/>
      <c r="I3" s="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4.75" customHeight="1">
      <c r="B4" s="27" t="s">
        <v>5</v>
      </c>
      <c r="C4" s="27"/>
      <c r="D4" s="27">
        <v>30.0</v>
      </c>
      <c r="F4" s="2"/>
      <c r="G4" s="2"/>
      <c r="H4" s="2"/>
      <c r="I4" s="2"/>
      <c r="J4" s="2"/>
    </row>
    <row r="5" ht="22.5" customHeight="1">
      <c r="B5" s="27" t="s">
        <v>6</v>
      </c>
      <c r="C5" s="27">
        <f>27+23+19</f>
        <v>69</v>
      </c>
      <c r="D5" s="30">
        <f>64+57+60+80</f>
        <v>261</v>
      </c>
      <c r="F5" s="2"/>
      <c r="G5" s="2"/>
      <c r="H5" s="3"/>
      <c r="I5" s="2"/>
      <c r="J5" s="2"/>
    </row>
    <row r="6" ht="22.5" customHeight="1">
      <c r="B6" s="27"/>
      <c r="C6" s="27"/>
      <c r="D6" s="30"/>
      <c r="F6" s="2"/>
      <c r="G6" s="2"/>
      <c r="H6" s="3" t="s">
        <v>83</v>
      </c>
      <c r="I6" s="2"/>
      <c r="J6" s="2" t="s">
        <v>84</v>
      </c>
    </row>
    <row r="7" ht="22.5" customHeight="1">
      <c r="A7" s="26" t="s">
        <v>7</v>
      </c>
      <c r="B7" s="27" t="s">
        <v>8</v>
      </c>
      <c r="D7" s="30"/>
      <c r="F7" s="2"/>
      <c r="G7" s="2"/>
      <c r="H7" s="47"/>
      <c r="J7" s="47">
        <v>33.71</v>
      </c>
      <c r="K7" s="31"/>
    </row>
    <row r="8" ht="22.5" customHeight="1">
      <c r="B8" s="27" t="s">
        <v>9</v>
      </c>
      <c r="C8" s="27"/>
      <c r="D8" s="30"/>
      <c r="F8" s="2"/>
      <c r="G8" s="2"/>
      <c r="H8" s="47"/>
      <c r="J8" s="47">
        <v>23.42</v>
      </c>
      <c r="K8" s="31"/>
    </row>
    <row r="9" ht="22.5" customHeight="1">
      <c r="B9" s="32"/>
      <c r="C9" s="33">
        <f t="shared" ref="C9:D9" si="1">SUM(C2:C8)</f>
        <v>69</v>
      </c>
      <c r="D9" s="33">
        <f t="shared" si="1"/>
        <v>327</v>
      </c>
      <c r="E9" s="2"/>
      <c r="F9" s="2"/>
      <c r="G9" s="2"/>
      <c r="H9" s="47">
        <v>1.5</v>
      </c>
      <c r="J9" s="47">
        <v>52.0</v>
      </c>
      <c r="K9" s="31"/>
    </row>
    <row r="10" ht="22.5" customHeight="1">
      <c r="B10" s="27" t="s">
        <v>11</v>
      </c>
      <c r="D10" s="27">
        <v>29.0</v>
      </c>
      <c r="F10" s="2"/>
      <c r="G10" s="2"/>
      <c r="H10" s="47">
        <v>38.91</v>
      </c>
      <c r="J10" s="47">
        <v>5.0</v>
      </c>
      <c r="K10" s="31"/>
    </row>
    <row r="11" ht="22.5" customHeight="1">
      <c r="B11" s="27" t="s">
        <v>12</v>
      </c>
      <c r="D11" s="27"/>
      <c r="E11" s="7"/>
      <c r="F11" s="2"/>
      <c r="G11" s="2"/>
      <c r="H11" s="47">
        <v>32.0</v>
      </c>
      <c r="J11" s="47">
        <v>2.4</v>
      </c>
      <c r="K11" s="31"/>
    </row>
    <row r="12" ht="22.5" customHeight="1">
      <c r="B12" s="27" t="s">
        <v>13</v>
      </c>
      <c r="D12" s="27"/>
      <c r="F12" s="2"/>
      <c r="G12" s="2"/>
      <c r="H12" s="47">
        <v>21.0</v>
      </c>
      <c r="J12" s="47">
        <v>3.4</v>
      </c>
      <c r="K12" s="31"/>
    </row>
    <row r="13" ht="22.5" customHeight="1">
      <c r="B13" s="27" t="s">
        <v>14</v>
      </c>
      <c r="D13" s="27">
        <v>137.0</v>
      </c>
      <c r="H13" s="47">
        <v>12.34</v>
      </c>
      <c r="J13" s="47">
        <v>14.8</v>
      </c>
      <c r="K13" s="31"/>
    </row>
    <row r="14" ht="22.5" customHeight="1">
      <c r="B14" s="27" t="s">
        <v>15</v>
      </c>
      <c r="C14" s="27">
        <f>33</f>
        <v>33</v>
      </c>
      <c r="G14" s="2"/>
      <c r="H14" s="47">
        <v>110.61</v>
      </c>
      <c r="J14" s="47">
        <v>11.2</v>
      </c>
      <c r="K14" s="31"/>
    </row>
    <row r="15" ht="22.5" customHeight="1">
      <c r="B15" s="27" t="s">
        <v>16</v>
      </c>
      <c r="C15" s="27"/>
      <c r="G15" s="2"/>
      <c r="K15" s="31"/>
    </row>
    <row r="16" ht="22.5" customHeight="1">
      <c r="B16" s="27" t="s">
        <v>17</v>
      </c>
      <c r="D16" s="27"/>
      <c r="G16" s="2"/>
      <c r="I16" s="23"/>
      <c r="K16" s="31"/>
    </row>
    <row r="17" ht="22.5" customHeight="1">
      <c r="B17" s="27" t="s">
        <v>74</v>
      </c>
      <c r="C17" s="27"/>
      <c r="D17" s="27">
        <v>70.0</v>
      </c>
      <c r="G17" s="2"/>
      <c r="K17" s="31"/>
    </row>
    <row r="18" ht="22.5" customHeight="1">
      <c r="A18" s="33" t="s">
        <v>10</v>
      </c>
      <c r="B18" s="32"/>
      <c r="C18" s="33">
        <f t="shared" ref="C18:D18" si="2">SUM(C10:C17)</f>
        <v>33</v>
      </c>
      <c r="D18" s="33">
        <f t="shared" si="2"/>
        <v>236</v>
      </c>
      <c r="G18" s="2"/>
      <c r="K18" s="31"/>
    </row>
    <row r="19" ht="22.5" customHeight="1">
      <c r="A19" s="26" t="s">
        <v>19</v>
      </c>
      <c r="B19" s="27" t="s">
        <v>20</v>
      </c>
      <c r="C19" s="27"/>
      <c r="D19" s="27"/>
      <c r="G19" s="2"/>
      <c r="K19" s="31"/>
    </row>
    <row r="20" ht="22.5" customHeight="1">
      <c r="B20" s="27" t="s">
        <v>21</v>
      </c>
      <c r="C20" s="27">
        <f>23+20+10+40</f>
        <v>93</v>
      </c>
      <c r="D20" s="27">
        <f>7+20+30+20+142+6</f>
        <v>225</v>
      </c>
      <c r="E20" s="2"/>
      <c r="G20" s="2"/>
      <c r="K20" s="31"/>
    </row>
    <row r="21" ht="22.5" customHeight="1">
      <c r="B21" s="27"/>
      <c r="C21" s="27"/>
      <c r="D21" s="27"/>
      <c r="E21" s="2"/>
      <c r="G21" s="2"/>
      <c r="K21" s="31"/>
    </row>
    <row r="22" ht="22.5" customHeight="1">
      <c r="B22" s="27" t="s">
        <v>22</v>
      </c>
      <c r="C22" s="34"/>
      <c r="D22" s="27"/>
      <c r="G22" s="2"/>
      <c r="K22" s="31"/>
    </row>
    <row r="23" ht="22.5" customHeight="1">
      <c r="A23" s="33" t="s">
        <v>10</v>
      </c>
      <c r="B23" s="33"/>
      <c r="C23" s="33">
        <f t="shared" ref="C23:D23" si="3">SUM(C19:C22)</f>
        <v>93</v>
      </c>
      <c r="D23" s="33">
        <f t="shared" si="3"/>
        <v>225</v>
      </c>
      <c r="K23" s="31"/>
    </row>
    <row r="24" ht="22.5" customHeight="1">
      <c r="A24" s="26" t="s">
        <v>23</v>
      </c>
      <c r="B24" s="27" t="s">
        <v>24</v>
      </c>
      <c r="C24" s="27"/>
      <c r="D24" s="27"/>
      <c r="K24" s="31"/>
    </row>
    <row r="25" ht="22.5" customHeight="1">
      <c r="B25" s="27" t="s">
        <v>25</v>
      </c>
      <c r="C25" s="27"/>
      <c r="D25" s="27">
        <f>17+62</f>
        <v>79</v>
      </c>
      <c r="K25" s="31"/>
    </row>
    <row r="26" ht="22.5" customHeight="1">
      <c r="B26" s="27" t="s">
        <v>26</v>
      </c>
      <c r="D26" s="27"/>
    </row>
    <row r="27" ht="22.5" customHeight="1">
      <c r="B27" s="27" t="s">
        <v>27</v>
      </c>
      <c r="C27" s="27"/>
      <c r="D27" s="27">
        <v>30.0</v>
      </c>
    </row>
    <row r="28" ht="22.5" customHeight="1">
      <c r="B28" s="27" t="s">
        <v>28</v>
      </c>
      <c r="C28" s="27"/>
      <c r="D28" s="27">
        <v>30.0</v>
      </c>
    </row>
    <row r="29" ht="22.5" customHeight="1">
      <c r="B29" s="27" t="s">
        <v>29</v>
      </c>
      <c r="C29" s="35"/>
      <c r="D29" s="36"/>
    </row>
    <row r="30" ht="22.5" customHeight="1">
      <c r="A30" s="46" t="s">
        <v>10</v>
      </c>
      <c r="B30" s="33"/>
      <c r="C30" s="33">
        <f t="shared" ref="C30:D30" si="4">sum(C24:C29)</f>
        <v>0</v>
      </c>
      <c r="D30" s="33">
        <f t="shared" si="4"/>
        <v>139</v>
      </c>
      <c r="G30" s="2" t="s">
        <v>30</v>
      </c>
    </row>
    <row r="31" ht="22.5" customHeight="1">
      <c r="A31" s="37" t="s">
        <v>10</v>
      </c>
    </row>
    <row r="32" ht="22.5" customHeight="1">
      <c r="A32" s="37" t="s">
        <v>31</v>
      </c>
      <c r="B32" s="38"/>
      <c r="C32" s="38"/>
      <c r="D32" s="34">
        <f>C9+C18+C23+C30</f>
        <v>195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22.5" customHeight="1">
      <c r="A33" s="37" t="s">
        <v>32</v>
      </c>
      <c r="B33" s="29"/>
      <c r="C33" s="29"/>
      <c r="D33" s="28">
        <f>D9+D18+D23+D30</f>
        <v>927</v>
      </c>
    </row>
    <row r="34" ht="22.5" customHeight="1">
      <c r="A34" s="37" t="s">
        <v>33</v>
      </c>
      <c r="B34" s="29"/>
      <c r="C34" s="29"/>
      <c r="D34" s="30">
        <f>(D33-D32)/2</f>
        <v>366</v>
      </c>
    </row>
    <row r="35">
      <c r="A35" s="14"/>
    </row>
    <row r="36">
      <c r="A36" s="2" t="s">
        <v>34</v>
      </c>
    </row>
    <row r="37">
      <c r="A37" s="2"/>
      <c r="B37" s="2"/>
      <c r="E37" s="39"/>
      <c r="F37" s="39"/>
      <c r="H37" s="39"/>
      <c r="I37" s="39"/>
    </row>
    <row r="38" ht="22.5" customHeight="1">
      <c r="A38" s="25" t="s">
        <v>35</v>
      </c>
      <c r="B38" s="25" t="s">
        <v>36</v>
      </c>
      <c r="E38" s="25" t="s">
        <v>37</v>
      </c>
      <c r="F38" s="25" t="s">
        <v>36</v>
      </c>
      <c r="H38" s="15" t="s">
        <v>38</v>
      </c>
      <c r="I38" s="16">
        <f>B45-F45</f>
        <v>-722</v>
      </c>
    </row>
    <row r="39" ht="22.5" customHeight="1">
      <c r="A39" s="40" t="s">
        <v>39</v>
      </c>
      <c r="B39" s="41">
        <f>D34</f>
        <v>366</v>
      </c>
      <c r="E39" s="40" t="s">
        <v>40</v>
      </c>
      <c r="F39" s="42">
        <v>500.0</v>
      </c>
    </row>
    <row r="40" ht="22.5" customHeight="1">
      <c r="A40" s="40" t="s">
        <v>41</v>
      </c>
      <c r="B40" s="40">
        <v>-320.0</v>
      </c>
      <c r="E40" s="43" t="s">
        <v>87</v>
      </c>
      <c r="F40" s="40">
        <v>500.0</v>
      </c>
      <c r="H40" s="3" t="s">
        <v>42</v>
      </c>
    </row>
    <row r="41" ht="22.5" customHeight="1">
      <c r="A41" s="40" t="s">
        <v>43</v>
      </c>
      <c r="B41" s="40">
        <v>115.0</v>
      </c>
      <c r="D41" s="2"/>
      <c r="E41" s="40"/>
      <c r="F41" s="42"/>
      <c r="G41" s="2"/>
      <c r="H41" s="15" t="s">
        <v>44</v>
      </c>
      <c r="I41" s="20">
        <f>D18/2</f>
        <v>118</v>
      </c>
    </row>
    <row r="42" ht="22.5" customHeight="1">
      <c r="A42" s="40" t="s">
        <v>88</v>
      </c>
      <c r="B42" s="40">
        <f>26+11</f>
        <v>37</v>
      </c>
      <c r="E42" s="40"/>
      <c r="F42" s="42"/>
      <c r="H42" s="15" t="s">
        <v>45</v>
      </c>
      <c r="I42" s="20">
        <f>D9/2</f>
        <v>163.5</v>
      </c>
    </row>
    <row r="43" ht="22.5" customHeight="1">
      <c r="A43" s="40" t="s">
        <v>89</v>
      </c>
      <c r="B43" s="40">
        <v>30.0</v>
      </c>
      <c r="E43" s="40"/>
      <c r="F43" s="40"/>
      <c r="H43" s="15" t="s">
        <v>46</v>
      </c>
      <c r="I43" s="20">
        <f>D23/2</f>
        <v>112.5</v>
      </c>
    </row>
    <row r="44" ht="22.5" customHeight="1">
      <c r="A44" s="40"/>
      <c r="B44" s="44">
        <f>40+10</f>
        <v>50</v>
      </c>
      <c r="E44" s="40"/>
      <c r="F44" s="40"/>
      <c r="H44" s="15" t="s">
        <v>47</v>
      </c>
      <c r="I44" s="20">
        <f>D30/2</f>
        <v>69.5</v>
      </c>
    </row>
    <row r="45" ht="22.5" customHeight="1">
      <c r="A45" s="40" t="s">
        <v>10</v>
      </c>
      <c r="B45" s="45">
        <f>sum(B39:B44)</f>
        <v>278</v>
      </c>
      <c r="E45" s="40" t="s">
        <v>10</v>
      </c>
      <c r="F45" s="41">
        <f>sum(F39:F44)</f>
        <v>1000</v>
      </c>
      <c r="H45" s="15" t="s">
        <v>48</v>
      </c>
      <c r="I45" s="20">
        <f>sum(I41:I44)</f>
        <v>463.5</v>
      </c>
    </row>
    <row r="48">
      <c r="A48" s="2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</sheetData>
  <drawing r:id="rId2"/>
  <legacyDrawing r:id="rId3"/>
  <tableParts count="3">
    <tablePart r:id="rId7"/>
    <tablePart r:id="rId8"/>
    <tablePart r:id="rId9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23.38"/>
    <col customWidth="1" min="5" max="5" width="15.5"/>
    <col customWidth="1" min="8" max="8" width="25.25"/>
    <col customWidth="1" min="10" max="10" width="19.75"/>
  </cols>
  <sheetData>
    <row r="1" ht="22.5" customHeight="1">
      <c r="A1" s="24" t="s">
        <v>80</v>
      </c>
      <c r="B1" s="24" t="s">
        <v>81</v>
      </c>
      <c r="C1" s="25" t="s">
        <v>0</v>
      </c>
      <c r="D1" s="25" t="s">
        <v>1</v>
      </c>
      <c r="F1" s="2"/>
    </row>
    <row r="2" ht="22.5" customHeight="1">
      <c r="A2" s="26" t="s">
        <v>2</v>
      </c>
      <c r="B2" s="27" t="s">
        <v>3</v>
      </c>
      <c r="C2" s="27"/>
      <c r="D2" s="28">
        <f>11+14</f>
        <v>25</v>
      </c>
      <c r="F2" s="2"/>
      <c r="G2" s="2"/>
      <c r="H2" s="2"/>
      <c r="I2" s="2"/>
      <c r="J2" s="2"/>
    </row>
    <row r="3" ht="22.5" customHeight="1">
      <c r="A3" s="29"/>
      <c r="B3" s="28" t="s">
        <v>4</v>
      </c>
      <c r="C3" s="29"/>
      <c r="D3" s="28"/>
      <c r="E3" s="13"/>
      <c r="F3" s="3"/>
      <c r="G3" s="13"/>
      <c r="H3" s="3"/>
      <c r="I3" s="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4.75" customHeight="1">
      <c r="B4" s="27" t="s">
        <v>5</v>
      </c>
      <c r="C4" s="27"/>
      <c r="D4" s="27">
        <v>25.0</v>
      </c>
      <c r="F4" s="2"/>
      <c r="G4" s="2"/>
      <c r="H4" s="2"/>
      <c r="I4" s="2"/>
      <c r="J4" s="2"/>
    </row>
    <row r="5" ht="22.5" customHeight="1">
      <c r="B5" s="27" t="s">
        <v>6</v>
      </c>
      <c r="C5" s="27">
        <f>18+12+18+29</f>
        <v>77</v>
      </c>
      <c r="D5" s="30">
        <f>45+77+45</f>
        <v>167</v>
      </c>
      <c r="F5" s="2"/>
      <c r="G5" s="2"/>
      <c r="H5" s="3"/>
      <c r="I5" s="2"/>
      <c r="J5" s="2"/>
    </row>
    <row r="6" ht="22.5" customHeight="1">
      <c r="B6" s="27"/>
      <c r="C6" s="27"/>
      <c r="D6" s="30"/>
      <c r="F6" s="2"/>
      <c r="H6" s="3"/>
    </row>
    <row r="7" ht="22.5" customHeight="1">
      <c r="A7" s="26" t="s">
        <v>7</v>
      </c>
      <c r="B7" s="27" t="s">
        <v>8</v>
      </c>
      <c r="D7" s="30"/>
      <c r="F7" s="2"/>
      <c r="H7" s="48"/>
      <c r="I7" s="2">
        <v>4.5</v>
      </c>
      <c r="J7" s="47"/>
      <c r="K7" s="31"/>
    </row>
    <row r="8" ht="22.5" customHeight="1">
      <c r="B8" s="27"/>
      <c r="C8" s="27"/>
      <c r="D8" s="30"/>
      <c r="F8" s="2"/>
      <c r="H8" s="48"/>
      <c r="I8" s="2">
        <v>13.6</v>
      </c>
      <c r="J8" s="47"/>
      <c r="K8" s="31"/>
    </row>
    <row r="9" ht="22.5" customHeight="1">
      <c r="B9" s="32"/>
      <c r="C9" s="33">
        <f t="shared" ref="C9:D9" si="1">SUM(C2:C8)</f>
        <v>77</v>
      </c>
      <c r="D9" s="33">
        <f t="shared" si="1"/>
        <v>217</v>
      </c>
      <c r="E9" s="2"/>
      <c r="F9" s="2"/>
      <c r="H9" s="48"/>
      <c r="I9" s="2">
        <v>38.4</v>
      </c>
      <c r="J9" s="47"/>
      <c r="K9" s="31"/>
    </row>
    <row r="10" ht="22.5" customHeight="1">
      <c r="B10" s="27" t="s">
        <v>11</v>
      </c>
      <c r="D10" s="27">
        <v>29.0</v>
      </c>
      <c r="F10" s="2"/>
      <c r="H10" s="48"/>
      <c r="I10" s="2">
        <v>10.3</v>
      </c>
      <c r="J10" s="47"/>
      <c r="K10" s="31"/>
    </row>
    <row r="11" ht="22.5" customHeight="1">
      <c r="B11" s="27" t="s">
        <v>12</v>
      </c>
      <c r="D11" s="27"/>
      <c r="E11" s="7"/>
      <c r="F11" s="2"/>
      <c r="H11" s="48"/>
      <c r="I11" s="2">
        <v>33.0</v>
      </c>
      <c r="J11" s="47"/>
      <c r="K11" s="31"/>
    </row>
    <row r="12" ht="22.5" customHeight="1">
      <c r="B12" s="27" t="s">
        <v>13</v>
      </c>
      <c r="D12" s="27"/>
      <c r="F12" s="2"/>
      <c r="H12" s="48"/>
      <c r="I12" s="2">
        <v>12.5</v>
      </c>
      <c r="J12" s="47"/>
      <c r="K12" s="31"/>
    </row>
    <row r="13" ht="22.5" customHeight="1">
      <c r="B13" s="27" t="s">
        <v>14</v>
      </c>
      <c r="D13" s="27">
        <v>137.0</v>
      </c>
      <c r="H13" s="48"/>
      <c r="I13" s="2">
        <v>2.6</v>
      </c>
      <c r="J13" s="47"/>
      <c r="K13" s="31"/>
    </row>
    <row r="14" ht="22.5" customHeight="1">
      <c r="B14" s="27" t="s">
        <v>15</v>
      </c>
      <c r="C14" s="27">
        <f>33</f>
        <v>33</v>
      </c>
      <c r="H14" s="48"/>
      <c r="I14" s="2">
        <v>31.7</v>
      </c>
      <c r="J14" s="47"/>
      <c r="K14" s="31"/>
    </row>
    <row r="15" ht="22.5" customHeight="1">
      <c r="B15" s="27" t="s">
        <v>16</v>
      </c>
      <c r="C15" s="27"/>
      <c r="H15" s="48"/>
      <c r="I15" s="2">
        <v>16.3</v>
      </c>
      <c r="K15" s="31"/>
    </row>
    <row r="16" ht="22.5" customHeight="1">
      <c r="B16" s="27" t="s">
        <v>17</v>
      </c>
      <c r="D16" s="27"/>
      <c r="G16" s="2"/>
      <c r="H16" s="48"/>
      <c r="I16" s="23">
        <v>43.1</v>
      </c>
      <c r="K16" s="31"/>
    </row>
    <row r="17" ht="22.5" customHeight="1">
      <c r="B17" s="27" t="s">
        <v>74</v>
      </c>
      <c r="C17" s="27"/>
      <c r="D17" s="27"/>
      <c r="G17" s="2"/>
      <c r="H17" s="48"/>
      <c r="I17" s="2">
        <v>44.5</v>
      </c>
      <c r="K17" s="31"/>
    </row>
    <row r="18" ht="22.5" customHeight="1">
      <c r="A18" s="33" t="s">
        <v>10</v>
      </c>
      <c r="B18" s="32"/>
      <c r="C18" s="33">
        <f t="shared" ref="C18:D18" si="2">SUM(C10:C17)</f>
        <v>33</v>
      </c>
      <c r="D18" s="33">
        <f t="shared" si="2"/>
        <v>166</v>
      </c>
      <c r="G18" s="2"/>
      <c r="H18" s="48"/>
      <c r="I18" s="2">
        <v>23.8</v>
      </c>
      <c r="K18" s="31"/>
    </row>
    <row r="19" ht="22.5" customHeight="1">
      <c r="A19" s="26" t="s">
        <v>19</v>
      </c>
      <c r="B19" s="27" t="s">
        <v>20</v>
      </c>
      <c r="C19" s="27"/>
      <c r="D19" s="27"/>
      <c r="G19" s="2"/>
      <c r="H19" s="48"/>
      <c r="I19" s="2">
        <v>35.0</v>
      </c>
      <c r="K19" s="31"/>
    </row>
    <row r="20" ht="22.5" customHeight="1">
      <c r="B20" s="27" t="s">
        <v>21</v>
      </c>
      <c r="C20" s="49">
        <f>50+92+317+I31+37</f>
        <v>997.8</v>
      </c>
      <c r="D20" s="27">
        <f>50+70+454+121</f>
        <v>695</v>
      </c>
      <c r="E20" s="2"/>
      <c r="G20" s="2"/>
      <c r="H20" s="48"/>
      <c r="I20" s="2">
        <v>15.8</v>
      </c>
      <c r="K20" s="31"/>
    </row>
    <row r="21" ht="22.5" customHeight="1">
      <c r="B21" s="27"/>
      <c r="C21" s="27"/>
      <c r="D21" s="27"/>
      <c r="E21" s="2"/>
      <c r="G21" s="2"/>
      <c r="H21" s="48"/>
      <c r="I21" s="2">
        <v>13.6</v>
      </c>
      <c r="K21" s="31"/>
    </row>
    <row r="22" ht="22.5" customHeight="1">
      <c r="B22" s="27" t="s">
        <v>22</v>
      </c>
      <c r="C22" s="34"/>
      <c r="D22" s="27"/>
      <c r="G22" s="2"/>
      <c r="H22" s="48"/>
      <c r="I22" s="2">
        <v>33.3</v>
      </c>
      <c r="K22" s="31"/>
    </row>
    <row r="23" ht="22.5" customHeight="1">
      <c r="A23" s="33" t="s">
        <v>10</v>
      </c>
      <c r="B23" s="33"/>
      <c r="C23" s="33">
        <f t="shared" ref="C23:D23" si="3">SUM(C19:C22)</f>
        <v>997.8</v>
      </c>
      <c r="D23" s="33">
        <f t="shared" si="3"/>
        <v>695</v>
      </c>
      <c r="H23" s="48"/>
      <c r="I23" s="2">
        <v>10.3</v>
      </c>
      <c r="K23" s="31"/>
    </row>
    <row r="24" ht="22.5" customHeight="1">
      <c r="A24" s="26" t="s">
        <v>23</v>
      </c>
      <c r="B24" s="27" t="s">
        <v>24</v>
      </c>
      <c r="C24" s="27"/>
      <c r="D24" s="27"/>
      <c r="H24" s="48"/>
      <c r="I24" s="2">
        <v>17.0</v>
      </c>
      <c r="K24" s="31"/>
    </row>
    <row r="25" ht="22.5" customHeight="1">
      <c r="B25" s="27" t="s">
        <v>25</v>
      </c>
      <c r="C25" s="27"/>
      <c r="D25" s="27">
        <f>31+60</f>
        <v>91</v>
      </c>
      <c r="H25" s="48"/>
      <c r="I25" s="2">
        <v>10.4</v>
      </c>
      <c r="K25" s="31"/>
    </row>
    <row r="26" ht="22.5" customHeight="1">
      <c r="B26" s="27" t="s">
        <v>26</v>
      </c>
      <c r="D26" s="27"/>
      <c r="H26" s="48"/>
      <c r="I26" s="2">
        <v>21.0</v>
      </c>
    </row>
    <row r="27" ht="22.5" customHeight="1">
      <c r="B27" s="27" t="s">
        <v>27</v>
      </c>
      <c r="C27" s="27"/>
      <c r="D27" s="27">
        <v>52.0</v>
      </c>
      <c r="H27" s="48"/>
      <c r="I27" s="2">
        <v>34.5</v>
      </c>
    </row>
    <row r="28" ht="22.5" customHeight="1">
      <c r="B28" s="27" t="s">
        <v>28</v>
      </c>
      <c r="C28" s="27">
        <f>904+28</f>
        <v>932</v>
      </c>
      <c r="D28" s="27">
        <v>70.0</v>
      </c>
      <c r="H28" s="48"/>
      <c r="I28" s="2">
        <v>2.6</v>
      </c>
    </row>
    <row r="29" ht="22.5" customHeight="1">
      <c r="B29" s="27" t="s">
        <v>29</v>
      </c>
      <c r="C29" s="35"/>
      <c r="D29" s="36"/>
      <c r="H29" s="48"/>
      <c r="I29" s="2">
        <v>16.3</v>
      </c>
    </row>
    <row r="30" ht="22.5" customHeight="1">
      <c r="A30" s="46" t="s">
        <v>10</v>
      </c>
      <c r="B30" s="33"/>
      <c r="C30" s="33">
        <f t="shared" ref="C30:D30" si="4">sum(C24:C29)</f>
        <v>932</v>
      </c>
      <c r="D30" s="33">
        <f t="shared" si="4"/>
        <v>213</v>
      </c>
      <c r="G30" s="2" t="s">
        <v>30</v>
      </c>
      <c r="I30" s="2">
        <v>17.7</v>
      </c>
    </row>
    <row r="31" ht="22.5" customHeight="1">
      <c r="A31" s="37" t="s">
        <v>10</v>
      </c>
      <c r="I31" s="50">
        <f>SUM(I7:I30)</f>
        <v>501.8</v>
      </c>
    </row>
    <row r="32" ht="22.5" customHeight="1">
      <c r="A32" s="37" t="s">
        <v>31</v>
      </c>
      <c r="B32" s="38"/>
      <c r="C32" s="38"/>
      <c r="D32" s="34">
        <f>C9+C18+C23+C30</f>
        <v>2039.8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22.5" customHeight="1">
      <c r="A33" s="37" t="s">
        <v>32</v>
      </c>
      <c r="B33" s="29"/>
      <c r="C33" s="29"/>
      <c r="D33" s="28">
        <f>D9+D18+D23+D30</f>
        <v>1291</v>
      </c>
    </row>
    <row r="34" ht="22.5" customHeight="1">
      <c r="A34" s="37" t="s">
        <v>33</v>
      </c>
      <c r="B34" s="29"/>
      <c r="C34" s="29"/>
      <c r="D34" s="30">
        <f>(D33-D32)/2</f>
        <v>-374.4</v>
      </c>
    </row>
    <row r="35">
      <c r="A35" s="14"/>
    </row>
    <row r="36">
      <c r="A36" s="2" t="s">
        <v>34</v>
      </c>
    </row>
    <row r="37">
      <c r="A37" s="2"/>
      <c r="B37" s="2"/>
      <c r="E37" s="39"/>
      <c r="F37" s="39"/>
      <c r="H37" s="39"/>
      <c r="I37" s="39"/>
    </row>
    <row r="38" ht="22.5" customHeight="1">
      <c r="A38" s="25" t="s">
        <v>35</v>
      </c>
      <c r="B38" s="25" t="s">
        <v>36</v>
      </c>
      <c r="E38" s="25" t="s">
        <v>37</v>
      </c>
      <c r="F38" s="25" t="s">
        <v>36</v>
      </c>
      <c r="H38" s="15" t="s">
        <v>38</v>
      </c>
      <c r="I38" s="16">
        <f>B45-F45</f>
        <v>-981.4</v>
      </c>
    </row>
    <row r="39" ht="22.5" customHeight="1">
      <c r="A39" s="40" t="s">
        <v>39</v>
      </c>
      <c r="B39" s="41">
        <f>D34</f>
        <v>-374.4</v>
      </c>
      <c r="E39" s="40" t="s">
        <v>40</v>
      </c>
      <c r="F39" s="42"/>
    </row>
    <row r="40" ht="22.5" customHeight="1">
      <c r="A40" s="40" t="s">
        <v>41</v>
      </c>
      <c r="B40" s="40">
        <v>-722.0</v>
      </c>
      <c r="E40" s="43"/>
      <c r="F40" s="40"/>
      <c r="H40" s="3" t="s">
        <v>42</v>
      </c>
    </row>
    <row r="41" ht="22.5" customHeight="1">
      <c r="A41" s="40" t="s">
        <v>43</v>
      </c>
      <c r="B41" s="40">
        <v>115.0</v>
      </c>
      <c r="D41" s="2"/>
      <c r="E41" s="40"/>
      <c r="F41" s="42"/>
      <c r="G41" s="2"/>
      <c r="H41" s="15" t="s">
        <v>44</v>
      </c>
      <c r="I41" s="20">
        <f>D18/2</f>
        <v>83</v>
      </c>
    </row>
    <row r="42" ht="22.5" customHeight="1">
      <c r="A42" s="40"/>
      <c r="B42" s="40"/>
      <c r="E42" s="40"/>
      <c r="F42" s="42"/>
      <c r="H42" s="15" t="s">
        <v>45</v>
      </c>
      <c r="I42" s="20">
        <f>D9/2</f>
        <v>108.5</v>
      </c>
    </row>
    <row r="43" ht="22.5" customHeight="1">
      <c r="A43" s="40"/>
      <c r="B43" s="40"/>
      <c r="E43" s="40"/>
      <c r="F43" s="40"/>
      <c r="H43" s="15" t="s">
        <v>46</v>
      </c>
      <c r="I43" s="20">
        <f>D23/2</f>
        <v>347.5</v>
      </c>
    </row>
    <row r="44" ht="22.5" customHeight="1">
      <c r="A44" s="40"/>
      <c r="B44" s="44"/>
      <c r="E44" s="40"/>
      <c r="F44" s="40"/>
      <c r="H44" s="15" t="s">
        <v>47</v>
      </c>
      <c r="I44" s="20">
        <f>D30/2</f>
        <v>106.5</v>
      </c>
    </row>
    <row r="45" ht="22.5" customHeight="1">
      <c r="A45" s="40" t="s">
        <v>10</v>
      </c>
      <c r="B45" s="45">
        <f>sum(B39:B44)</f>
        <v>-981.4</v>
      </c>
      <c r="E45" s="40" t="s">
        <v>10</v>
      </c>
      <c r="F45" s="41">
        <f>sum(F39:F44)</f>
        <v>0</v>
      </c>
      <c r="H45" s="15" t="s">
        <v>48</v>
      </c>
      <c r="I45" s="20">
        <f>sum(I41:I44)</f>
        <v>645.5</v>
      </c>
    </row>
    <row r="48">
      <c r="A48" s="2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</sheetData>
  <drawing r:id="rId2"/>
  <legacyDrawing r:id="rId3"/>
  <tableParts count="3">
    <tablePart r:id="rId7"/>
    <tablePart r:id="rId8"/>
    <tablePart r:id="rId9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23.38"/>
    <col customWidth="1" min="5" max="5" width="15.5"/>
    <col customWidth="1" min="8" max="8" width="25.25"/>
    <col customWidth="1" min="10" max="10" width="19.75"/>
  </cols>
  <sheetData>
    <row r="1" ht="22.5" customHeight="1">
      <c r="A1" s="24" t="s">
        <v>80</v>
      </c>
      <c r="B1" s="24" t="s">
        <v>81</v>
      </c>
      <c r="C1" s="25" t="s">
        <v>0</v>
      </c>
      <c r="D1" s="25" t="s">
        <v>1</v>
      </c>
      <c r="F1" s="2"/>
    </row>
    <row r="2" ht="22.5" customHeight="1">
      <c r="A2" s="26" t="s">
        <v>2</v>
      </c>
      <c r="B2" s="27" t="s">
        <v>3</v>
      </c>
      <c r="C2" s="27"/>
      <c r="D2" s="28">
        <v>2.0</v>
      </c>
      <c r="F2" s="2"/>
      <c r="G2" s="2"/>
      <c r="H2" s="2"/>
      <c r="I2" s="2"/>
      <c r="J2" s="2"/>
    </row>
    <row r="3" ht="22.5" customHeight="1">
      <c r="A3" s="29"/>
      <c r="B3" s="28" t="s">
        <v>4</v>
      </c>
      <c r="C3" s="29"/>
      <c r="D3" s="28"/>
      <c r="E3" s="13"/>
      <c r="F3" s="3"/>
      <c r="G3" s="13"/>
      <c r="H3" s="3"/>
      <c r="I3" s="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4.75" customHeight="1">
      <c r="B4" s="27" t="s">
        <v>5</v>
      </c>
      <c r="C4" s="27"/>
      <c r="D4" s="27">
        <v>64.0</v>
      </c>
      <c r="F4" s="2"/>
      <c r="G4" s="2"/>
      <c r="H4" s="2"/>
      <c r="I4" s="2"/>
      <c r="J4" s="2"/>
    </row>
    <row r="5" ht="22.5" customHeight="1">
      <c r="B5" s="27" t="s">
        <v>6</v>
      </c>
      <c r="C5" s="27">
        <f>4+7+21+9+21+25</f>
        <v>87</v>
      </c>
      <c r="D5" s="30">
        <f>63+44+6+52+56</f>
        <v>221</v>
      </c>
      <c r="F5" s="2"/>
      <c r="G5" s="2"/>
      <c r="H5" s="3"/>
      <c r="I5" s="2"/>
      <c r="J5" s="2"/>
    </row>
    <row r="6" ht="22.5" customHeight="1">
      <c r="B6" s="27"/>
      <c r="C6" s="27"/>
      <c r="D6" s="30"/>
      <c r="F6" s="2"/>
      <c r="H6" s="3"/>
    </row>
    <row r="7" ht="22.5" customHeight="1">
      <c r="A7" s="26" t="s">
        <v>7</v>
      </c>
      <c r="B7" s="27" t="s">
        <v>8</v>
      </c>
      <c r="D7" s="30"/>
      <c r="F7" s="2"/>
      <c r="H7" s="48"/>
      <c r="I7" s="2">
        <v>4.5</v>
      </c>
      <c r="J7" s="47"/>
      <c r="K7" s="31"/>
    </row>
    <row r="8" ht="22.5" customHeight="1">
      <c r="B8" s="27"/>
      <c r="C8" s="27"/>
      <c r="D8" s="30"/>
      <c r="F8" s="2"/>
      <c r="H8" s="48"/>
      <c r="I8" s="2">
        <v>13.6</v>
      </c>
      <c r="J8" s="47"/>
      <c r="K8" s="31"/>
    </row>
    <row r="9" ht="22.5" customHeight="1">
      <c r="B9" s="32"/>
      <c r="C9" s="33">
        <f t="shared" ref="C9:D9" si="1">SUM(C2:C8)</f>
        <v>87</v>
      </c>
      <c r="D9" s="33">
        <f t="shared" si="1"/>
        <v>287</v>
      </c>
      <c r="E9" s="2"/>
      <c r="F9" s="2"/>
      <c r="H9" s="48"/>
      <c r="I9" s="2">
        <v>38.4</v>
      </c>
      <c r="J9" s="47"/>
      <c r="K9" s="31"/>
    </row>
    <row r="10" ht="22.5" customHeight="1">
      <c r="B10" s="27" t="s">
        <v>11</v>
      </c>
      <c r="D10" s="27">
        <v>31.0</v>
      </c>
      <c r="F10" s="2"/>
      <c r="H10" s="48"/>
      <c r="I10" s="2">
        <v>10.3</v>
      </c>
      <c r="J10" s="47"/>
      <c r="K10" s="31"/>
    </row>
    <row r="11" ht="22.5" customHeight="1">
      <c r="B11" s="27" t="s">
        <v>12</v>
      </c>
      <c r="D11" s="27"/>
      <c r="E11" s="7"/>
      <c r="F11" s="2"/>
      <c r="H11" s="48"/>
      <c r="I11" s="2">
        <v>33.0</v>
      </c>
      <c r="J11" s="47"/>
      <c r="K11" s="31"/>
    </row>
    <row r="12" ht="22.5" customHeight="1">
      <c r="B12" s="27" t="s">
        <v>13</v>
      </c>
      <c r="D12" s="27"/>
      <c r="F12" s="2"/>
      <c r="H12" s="48"/>
      <c r="I12" s="2">
        <v>12.5</v>
      </c>
      <c r="J12" s="47"/>
      <c r="K12" s="31"/>
    </row>
    <row r="13" ht="22.5" customHeight="1">
      <c r="B13" s="27" t="s">
        <v>14</v>
      </c>
      <c r="D13" s="27">
        <v>137.0</v>
      </c>
      <c r="H13" s="48"/>
      <c r="I13" s="2">
        <v>2.6</v>
      </c>
      <c r="J13" s="47"/>
      <c r="K13" s="31"/>
    </row>
    <row r="14" ht="22.5" customHeight="1">
      <c r="B14" s="27" t="s">
        <v>15</v>
      </c>
      <c r="C14" s="27">
        <f>33</f>
        <v>33</v>
      </c>
      <c r="H14" s="48"/>
      <c r="I14" s="2">
        <v>31.7</v>
      </c>
      <c r="J14" s="47"/>
      <c r="K14" s="31"/>
    </row>
    <row r="15" ht="22.5" customHeight="1">
      <c r="B15" s="27" t="s">
        <v>16</v>
      </c>
      <c r="C15" s="27"/>
      <c r="H15" s="48"/>
      <c r="I15" s="2">
        <v>16.3</v>
      </c>
      <c r="K15" s="31"/>
    </row>
    <row r="16" ht="22.5" customHeight="1">
      <c r="B16" s="27" t="s">
        <v>17</v>
      </c>
      <c r="D16" s="27"/>
      <c r="G16" s="2"/>
      <c r="H16" s="48"/>
      <c r="I16" s="23">
        <v>43.1</v>
      </c>
      <c r="K16" s="31"/>
    </row>
    <row r="17" ht="22.5" customHeight="1">
      <c r="B17" s="27" t="s">
        <v>74</v>
      </c>
      <c r="C17" s="27"/>
      <c r="D17" s="27"/>
      <c r="G17" s="2"/>
      <c r="H17" s="48"/>
      <c r="I17" s="2">
        <v>44.5</v>
      </c>
      <c r="K17" s="31"/>
    </row>
    <row r="18" ht="22.5" customHeight="1">
      <c r="A18" s="33" t="s">
        <v>10</v>
      </c>
      <c r="B18" s="32"/>
      <c r="C18" s="33">
        <f t="shared" ref="C18:D18" si="2">SUM(C10:C17)</f>
        <v>33</v>
      </c>
      <c r="D18" s="33">
        <f t="shared" si="2"/>
        <v>168</v>
      </c>
      <c r="G18" s="2"/>
      <c r="H18" s="48"/>
      <c r="I18" s="2">
        <v>23.8</v>
      </c>
      <c r="K18" s="31"/>
    </row>
    <row r="19" ht="22.5" customHeight="1">
      <c r="A19" s="26" t="s">
        <v>19</v>
      </c>
      <c r="B19" s="27" t="s">
        <v>20</v>
      </c>
      <c r="C19" s="27">
        <v>50.0</v>
      </c>
      <c r="D19" s="27"/>
      <c r="G19" s="2"/>
      <c r="H19" s="48"/>
      <c r="I19" s="2">
        <v>35.0</v>
      </c>
      <c r="K19" s="31"/>
    </row>
    <row r="20" ht="22.5" customHeight="1">
      <c r="B20" s="27" t="s">
        <v>21</v>
      </c>
      <c r="C20" s="27">
        <f>66+20+80</f>
        <v>166</v>
      </c>
      <c r="D20" s="27">
        <f>145</f>
        <v>145</v>
      </c>
      <c r="E20" s="2"/>
      <c r="G20" s="2"/>
      <c r="H20" s="48"/>
      <c r="I20" s="2">
        <v>15.8</v>
      </c>
      <c r="K20" s="31"/>
    </row>
    <row r="21" ht="22.5" customHeight="1">
      <c r="B21" s="27"/>
      <c r="C21" s="27"/>
      <c r="D21" s="27"/>
      <c r="E21" s="2"/>
      <c r="G21" s="2"/>
      <c r="H21" s="48"/>
      <c r="I21" s="2">
        <v>13.6</v>
      </c>
      <c r="K21" s="31"/>
    </row>
    <row r="22" ht="22.5" customHeight="1">
      <c r="B22" s="27" t="s">
        <v>22</v>
      </c>
      <c r="C22" s="34"/>
      <c r="D22" s="27"/>
      <c r="G22" s="2"/>
      <c r="H22" s="48"/>
      <c r="I22" s="2">
        <v>33.3</v>
      </c>
      <c r="K22" s="31"/>
    </row>
    <row r="23" ht="22.5" customHeight="1">
      <c r="A23" s="33" t="s">
        <v>10</v>
      </c>
      <c r="B23" s="33"/>
      <c r="C23" s="33">
        <f t="shared" ref="C23:D23" si="3">SUM(C19:C22)</f>
        <v>216</v>
      </c>
      <c r="D23" s="33">
        <f t="shared" si="3"/>
        <v>145</v>
      </c>
      <c r="H23" s="48"/>
      <c r="I23" s="2">
        <v>10.3</v>
      </c>
      <c r="K23" s="31"/>
    </row>
    <row r="24" ht="22.5" customHeight="1">
      <c r="A24" s="26" t="s">
        <v>23</v>
      </c>
      <c r="B24" s="27" t="s">
        <v>24</v>
      </c>
      <c r="C24" s="27"/>
      <c r="D24" s="27"/>
      <c r="H24" s="48"/>
      <c r="I24" s="2">
        <v>17.0</v>
      </c>
      <c r="K24" s="31"/>
    </row>
    <row r="25" ht="22.5" customHeight="1">
      <c r="B25" s="27" t="s">
        <v>25</v>
      </c>
      <c r="C25" s="27"/>
      <c r="D25" s="27">
        <v>61.0</v>
      </c>
      <c r="H25" s="48"/>
      <c r="I25" s="2">
        <v>10.4</v>
      </c>
      <c r="K25" s="31"/>
    </row>
    <row r="26" ht="22.5" customHeight="1">
      <c r="B26" s="27" t="s">
        <v>26</v>
      </c>
      <c r="D26" s="27"/>
      <c r="H26" s="48"/>
      <c r="I26" s="2">
        <v>21.0</v>
      </c>
    </row>
    <row r="27" ht="22.5" customHeight="1">
      <c r="B27" s="27" t="s">
        <v>27</v>
      </c>
      <c r="C27" s="27"/>
      <c r="D27" s="27"/>
      <c r="H27" s="48"/>
      <c r="I27" s="2">
        <v>34.5</v>
      </c>
    </row>
    <row r="28" ht="22.5" customHeight="1">
      <c r="B28" s="27" t="s">
        <v>28</v>
      </c>
      <c r="C28" s="27">
        <f>745</f>
        <v>745</v>
      </c>
      <c r="D28" s="27">
        <v>149.0</v>
      </c>
      <c r="H28" s="48"/>
      <c r="I28" s="2">
        <v>2.6</v>
      </c>
    </row>
    <row r="29" ht="22.5" customHeight="1">
      <c r="B29" s="27" t="s">
        <v>29</v>
      </c>
      <c r="C29" s="35"/>
      <c r="D29" s="36"/>
      <c r="H29" s="48"/>
      <c r="I29" s="2">
        <v>16.3</v>
      </c>
    </row>
    <row r="30" ht="22.5" customHeight="1">
      <c r="A30" s="46" t="s">
        <v>10</v>
      </c>
      <c r="B30" s="33"/>
      <c r="C30" s="33">
        <f t="shared" ref="C30:D30" si="4">sum(C24:C29)</f>
        <v>745</v>
      </c>
      <c r="D30" s="33">
        <f t="shared" si="4"/>
        <v>210</v>
      </c>
      <c r="G30" s="2" t="s">
        <v>30</v>
      </c>
      <c r="I30" s="2">
        <v>17.7</v>
      </c>
    </row>
    <row r="31" ht="22.5" customHeight="1">
      <c r="A31" s="37" t="s">
        <v>10</v>
      </c>
      <c r="I31" s="50">
        <f>SUM(I7:I30)</f>
        <v>501.8</v>
      </c>
    </row>
    <row r="32" ht="22.5" customHeight="1">
      <c r="A32" s="37" t="s">
        <v>31</v>
      </c>
      <c r="B32" s="38"/>
      <c r="C32" s="38"/>
      <c r="D32" s="34">
        <f>C9+C18+C23+C30</f>
        <v>1081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22.5" customHeight="1">
      <c r="A33" s="37" t="s">
        <v>32</v>
      </c>
      <c r="B33" s="29"/>
      <c r="C33" s="29"/>
      <c r="D33" s="28">
        <f>D9+D18+D23+D30</f>
        <v>810</v>
      </c>
    </row>
    <row r="34" ht="22.5" customHeight="1">
      <c r="A34" s="37" t="s">
        <v>33</v>
      </c>
      <c r="B34" s="29"/>
      <c r="C34" s="29"/>
      <c r="D34" s="30">
        <f>(D33-D32)/2</f>
        <v>-135.5</v>
      </c>
    </row>
    <row r="35">
      <c r="A35" s="14"/>
    </row>
    <row r="36">
      <c r="A36" s="2" t="s">
        <v>34</v>
      </c>
    </row>
    <row r="37">
      <c r="A37" s="2"/>
      <c r="B37" s="2"/>
      <c r="E37" s="39"/>
      <c r="F37" s="39"/>
      <c r="H37" s="39"/>
      <c r="I37" s="39"/>
    </row>
    <row r="38" ht="22.5" customHeight="1">
      <c r="A38" s="25" t="s">
        <v>35</v>
      </c>
      <c r="B38" s="25" t="s">
        <v>36</v>
      </c>
      <c r="E38" s="25" t="s">
        <v>37</v>
      </c>
      <c r="F38" s="25" t="s">
        <v>36</v>
      </c>
      <c r="H38" s="15" t="s">
        <v>38</v>
      </c>
      <c r="I38" s="16">
        <f>B45-F45</f>
        <v>-386.5</v>
      </c>
    </row>
    <row r="39" ht="22.5" customHeight="1">
      <c r="A39" s="40" t="s">
        <v>39</v>
      </c>
      <c r="B39" s="41">
        <f>D34</f>
        <v>-135.5</v>
      </c>
      <c r="E39" s="40" t="s">
        <v>40</v>
      </c>
      <c r="F39" s="42"/>
    </row>
    <row r="40" ht="22.5" customHeight="1">
      <c r="A40" s="40" t="s">
        <v>41</v>
      </c>
      <c r="B40" s="40">
        <v>-981.0</v>
      </c>
      <c r="E40" s="43" t="s">
        <v>90</v>
      </c>
      <c r="F40" s="40">
        <f>19</f>
        <v>19</v>
      </c>
      <c r="H40" s="3" t="s">
        <v>42</v>
      </c>
    </row>
    <row r="41" ht="22.5" customHeight="1">
      <c r="A41" s="40" t="s">
        <v>43</v>
      </c>
      <c r="B41" s="40">
        <v>115.0</v>
      </c>
      <c r="D41" s="2"/>
      <c r="E41" s="40" t="s">
        <v>91</v>
      </c>
      <c r="F41" s="42">
        <v>143.0</v>
      </c>
      <c r="G41" s="2"/>
      <c r="H41" s="15" t="s">
        <v>44</v>
      </c>
      <c r="I41" s="20">
        <f>D18/2</f>
        <v>84</v>
      </c>
    </row>
    <row r="42" ht="22.5" customHeight="1">
      <c r="A42" s="40" t="s">
        <v>92</v>
      </c>
      <c r="B42" s="40">
        <v>397.0</v>
      </c>
      <c r="E42" s="40"/>
      <c r="F42" s="42">
        <v>9.0</v>
      </c>
      <c r="H42" s="15" t="s">
        <v>45</v>
      </c>
      <c r="I42" s="20">
        <f>D9/2</f>
        <v>143.5</v>
      </c>
    </row>
    <row r="43" ht="22.5" customHeight="1">
      <c r="A43" s="40" t="s">
        <v>67</v>
      </c>
      <c r="B43" s="40">
        <v>400.0</v>
      </c>
      <c r="E43" s="40" t="s">
        <v>93</v>
      </c>
      <c r="F43" s="40">
        <v>20.0</v>
      </c>
      <c r="H43" s="15" t="s">
        <v>46</v>
      </c>
      <c r="I43" s="20">
        <f>D23/2</f>
        <v>72.5</v>
      </c>
    </row>
    <row r="44" ht="22.5" customHeight="1">
      <c r="A44" s="40"/>
      <c r="B44" s="44">
        <v>9.0</v>
      </c>
      <c r="E44" s="40"/>
      <c r="F44" s="40"/>
      <c r="H44" s="15" t="s">
        <v>47</v>
      </c>
      <c r="I44" s="20">
        <f>D30/2</f>
        <v>105</v>
      </c>
    </row>
    <row r="45" ht="22.5" customHeight="1">
      <c r="A45" s="40" t="s">
        <v>10</v>
      </c>
      <c r="B45" s="45">
        <f>sum(B39:B44)</f>
        <v>-195.5</v>
      </c>
      <c r="E45" s="40" t="s">
        <v>10</v>
      </c>
      <c r="F45" s="41">
        <f>sum(F39:F44)</f>
        <v>191</v>
      </c>
      <c r="H45" s="15" t="s">
        <v>48</v>
      </c>
      <c r="I45" s="20">
        <f>sum(I41:I44)</f>
        <v>405</v>
      </c>
    </row>
    <row r="48">
      <c r="A48" s="2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</sheetData>
  <drawing r:id="rId2"/>
  <legacyDrawing r:id="rId3"/>
  <tableParts count="3">
    <tablePart r:id="rId7"/>
    <tablePart r:id="rId8"/>
    <tablePart r:id="rId9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3.38"/>
    <col customWidth="1" min="5" max="5" width="15.5"/>
    <col customWidth="1" min="8" max="8" width="25.25"/>
    <col customWidth="1" min="10" max="10" width="19.75"/>
  </cols>
  <sheetData>
    <row r="1" ht="22.5" customHeight="1">
      <c r="A1" s="24" t="s">
        <v>80</v>
      </c>
      <c r="B1" s="24" t="s">
        <v>81</v>
      </c>
      <c r="C1" s="25" t="s">
        <v>0</v>
      </c>
      <c r="D1" s="25" t="s">
        <v>1</v>
      </c>
      <c r="F1" s="2"/>
    </row>
    <row r="2" ht="22.5" customHeight="1">
      <c r="A2" s="26" t="s">
        <v>2</v>
      </c>
      <c r="B2" s="27" t="s">
        <v>3</v>
      </c>
      <c r="D2" s="28">
        <f>5+5+15</f>
        <v>25</v>
      </c>
      <c r="F2" s="2"/>
      <c r="G2" s="2"/>
      <c r="H2" s="2"/>
      <c r="I2" s="2"/>
      <c r="J2" s="2"/>
    </row>
    <row r="3" ht="22.5" customHeight="1">
      <c r="A3" s="29"/>
      <c r="B3" s="28" t="s">
        <v>4</v>
      </c>
      <c r="C3" s="29"/>
      <c r="D3" s="28"/>
      <c r="E3" s="13"/>
      <c r="F3" s="3"/>
      <c r="G3" s="13"/>
      <c r="H3" s="3"/>
      <c r="I3" s="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4.75" customHeight="1">
      <c r="B4" s="27" t="s">
        <v>5</v>
      </c>
      <c r="D4" s="27">
        <v>67.0</v>
      </c>
      <c r="F4" s="2"/>
      <c r="G4" s="2"/>
      <c r="H4" s="2"/>
      <c r="I4" s="2"/>
      <c r="J4" s="2"/>
    </row>
    <row r="5" ht="22.5" customHeight="1">
      <c r="B5" s="27" t="s">
        <v>6</v>
      </c>
      <c r="C5" s="34">
        <f>15+21+29</f>
        <v>65</v>
      </c>
      <c r="D5" s="30">
        <f>69+101</f>
        <v>170</v>
      </c>
      <c r="F5" s="2"/>
      <c r="G5" s="2"/>
      <c r="H5" s="3"/>
      <c r="I5" s="2"/>
      <c r="J5" s="2"/>
    </row>
    <row r="6" ht="22.5" customHeight="1">
      <c r="B6" s="27"/>
      <c r="C6" s="27"/>
      <c r="D6" s="30"/>
      <c r="F6" s="2"/>
      <c r="H6" s="3"/>
    </row>
    <row r="7" ht="22.5" customHeight="1">
      <c r="A7" s="26" t="s">
        <v>7</v>
      </c>
      <c r="B7" s="27" t="s">
        <v>8</v>
      </c>
      <c r="D7" s="30"/>
      <c r="F7" s="2"/>
      <c r="H7" s="48"/>
      <c r="I7" s="2">
        <v>4.5</v>
      </c>
      <c r="J7" s="47"/>
      <c r="K7" s="31"/>
    </row>
    <row r="8" ht="22.5" customHeight="1">
      <c r="B8" s="27"/>
      <c r="C8" s="27"/>
      <c r="D8" s="30"/>
      <c r="F8" s="2"/>
      <c r="H8" s="48"/>
      <c r="I8" s="2">
        <v>13.6</v>
      </c>
      <c r="J8" s="47"/>
      <c r="K8" s="31"/>
    </row>
    <row r="9" ht="22.5" customHeight="1">
      <c r="B9" s="32"/>
      <c r="C9" s="33">
        <f t="shared" ref="C9:D9" si="1">SUM(C2:C8)</f>
        <v>65</v>
      </c>
      <c r="D9" s="33">
        <f t="shared" si="1"/>
        <v>262</v>
      </c>
      <c r="E9" s="2"/>
      <c r="F9" s="2"/>
      <c r="H9" s="48"/>
      <c r="I9" s="2">
        <v>38.4</v>
      </c>
      <c r="J9" s="47"/>
      <c r="K9" s="31"/>
    </row>
    <row r="10" ht="22.5" customHeight="1">
      <c r="B10" s="27" t="s">
        <v>11</v>
      </c>
      <c r="D10" s="27">
        <v>31.0</v>
      </c>
      <c r="F10" s="2"/>
      <c r="H10" s="48"/>
      <c r="I10" s="2">
        <v>10.3</v>
      </c>
      <c r="J10" s="47"/>
      <c r="K10" s="31"/>
    </row>
    <row r="11" ht="22.5" customHeight="1">
      <c r="B11" s="27" t="s">
        <v>12</v>
      </c>
      <c r="D11" s="27"/>
      <c r="E11" s="7"/>
      <c r="F11" s="2"/>
      <c r="H11" s="48"/>
      <c r="I11" s="2">
        <v>33.0</v>
      </c>
      <c r="J11" s="47"/>
      <c r="K11" s="31"/>
    </row>
    <row r="12" ht="22.5" customHeight="1">
      <c r="B12" s="27" t="s">
        <v>13</v>
      </c>
      <c r="D12" s="27"/>
      <c r="F12" s="2"/>
      <c r="H12" s="48"/>
      <c r="I12" s="2">
        <v>12.5</v>
      </c>
      <c r="J12" s="47"/>
      <c r="K12" s="31"/>
    </row>
    <row r="13" ht="22.5" customHeight="1">
      <c r="B13" s="27" t="s">
        <v>14</v>
      </c>
      <c r="D13" s="27">
        <v>137.0</v>
      </c>
      <c r="H13" s="48"/>
      <c r="I13" s="2">
        <v>2.6</v>
      </c>
      <c r="J13" s="47"/>
      <c r="K13" s="31"/>
    </row>
    <row r="14" ht="22.5" customHeight="1">
      <c r="B14" s="27" t="s">
        <v>15</v>
      </c>
      <c r="C14" s="27">
        <f>33</f>
        <v>33</v>
      </c>
      <c r="D14" s="27">
        <v>6.0</v>
      </c>
      <c r="H14" s="48"/>
      <c r="I14" s="2">
        <v>31.7</v>
      </c>
      <c r="J14" s="47"/>
      <c r="K14" s="31"/>
    </row>
    <row r="15" ht="22.5" customHeight="1">
      <c r="B15" s="27" t="s">
        <v>16</v>
      </c>
      <c r="C15" s="27">
        <f>2007</f>
        <v>2007</v>
      </c>
      <c r="H15" s="48"/>
      <c r="I15" s="2">
        <v>16.3</v>
      </c>
      <c r="K15" s="31"/>
    </row>
    <row r="16" ht="22.5" customHeight="1">
      <c r="B16" s="27" t="s">
        <v>17</v>
      </c>
      <c r="D16" s="27"/>
      <c r="G16" s="2"/>
      <c r="H16" s="48"/>
      <c r="I16" s="23">
        <v>43.1</v>
      </c>
      <c r="K16" s="31"/>
    </row>
    <row r="17" ht="22.5" customHeight="1">
      <c r="B17" s="27" t="s">
        <v>74</v>
      </c>
      <c r="C17" s="27"/>
      <c r="D17" s="27"/>
      <c r="G17" s="2"/>
      <c r="H17" s="48"/>
      <c r="I17" s="2">
        <v>44.5</v>
      </c>
      <c r="K17" s="31"/>
    </row>
    <row r="18" ht="22.5" customHeight="1">
      <c r="A18" s="33" t="s">
        <v>10</v>
      </c>
      <c r="B18" s="32"/>
      <c r="C18" s="33">
        <f t="shared" ref="C18:D18" si="2">SUM(C10:C17)</f>
        <v>2040</v>
      </c>
      <c r="D18" s="33">
        <f t="shared" si="2"/>
        <v>174</v>
      </c>
      <c r="G18" s="2"/>
      <c r="H18" s="48"/>
      <c r="I18" s="2">
        <v>23.8</v>
      </c>
      <c r="K18" s="31"/>
    </row>
    <row r="19" ht="22.5" customHeight="1">
      <c r="A19" s="26" t="s">
        <v>19</v>
      </c>
      <c r="B19" s="27" t="s">
        <v>20</v>
      </c>
      <c r="G19" s="2"/>
      <c r="H19" s="48"/>
      <c r="I19" s="2">
        <v>35.0</v>
      </c>
      <c r="K19" s="31"/>
    </row>
    <row r="20" ht="22.5" customHeight="1">
      <c r="B20" s="27" t="s">
        <v>21</v>
      </c>
      <c r="C20" s="34">
        <f>78+51+15+20</f>
        <v>164</v>
      </c>
      <c r="D20" s="34">
        <f>30+43+59+107+19</f>
        <v>258</v>
      </c>
      <c r="E20" s="2"/>
      <c r="G20" s="2"/>
      <c r="H20" s="48"/>
      <c r="I20" s="2">
        <v>15.8</v>
      </c>
      <c r="K20" s="31"/>
    </row>
    <row r="21" ht="22.5" customHeight="1">
      <c r="B21" s="27"/>
      <c r="C21" s="27"/>
      <c r="D21" s="27"/>
      <c r="E21" s="2"/>
      <c r="G21" s="2"/>
      <c r="H21" s="48"/>
      <c r="I21" s="2">
        <v>13.6</v>
      </c>
      <c r="K21" s="31"/>
    </row>
    <row r="22" ht="22.5" customHeight="1">
      <c r="B22" s="27" t="s">
        <v>22</v>
      </c>
      <c r="C22" s="34"/>
      <c r="D22" s="27"/>
      <c r="G22" s="2"/>
      <c r="H22" s="48"/>
      <c r="I22" s="2">
        <v>33.3</v>
      </c>
      <c r="K22" s="31"/>
    </row>
    <row r="23" ht="22.5" customHeight="1">
      <c r="A23" s="33" t="s">
        <v>10</v>
      </c>
      <c r="B23" s="33"/>
      <c r="C23" s="33">
        <f t="shared" ref="C23:D23" si="3">SUM(C19:C22)</f>
        <v>164</v>
      </c>
      <c r="D23" s="33">
        <f t="shared" si="3"/>
        <v>258</v>
      </c>
      <c r="H23" s="48"/>
      <c r="I23" s="2">
        <v>10.3</v>
      </c>
      <c r="K23" s="31"/>
    </row>
    <row r="24" ht="22.5" customHeight="1">
      <c r="A24" s="26" t="s">
        <v>23</v>
      </c>
      <c r="B24" s="27" t="s">
        <v>24</v>
      </c>
      <c r="H24" s="48"/>
      <c r="I24" s="2">
        <v>17.0</v>
      </c>
      <c r="K24" s="31"/>
    </row>
    <row r="25" ht="22.5" customHeight="1">
      <c r="B25" s="27" t="s">
        <v>25</v>
      </c>
      <c r="D25" s="27">
        <f>60+62</f>
        <v>122</v>
      </c>
      <c r="H25" s="48"/>
      <c r="I25" s="2">
        <v>10.4</v>
      </c>
      <c r="K25" s="31"/>
    </row>
    <row r="26" ht="22.5" customHeight="1">
      <c r="B26" s="27" t="s">
        <v>26</v>
      </c>
      <c r="H26" s="48"/>
      <c r="I26" s="2">
        <v>21.0</v>
      </c>
    </row>
    <row r="27" ht="22.5" customHeight="1">
      <c r="B27" s="27" t="s">
        <v>27</v>
      </c>
      <c r="H27" s="48"/>
      <c r="I27" s="2">
        <v>34.5</v>
      </c>
    </row>
    <row r="28" ht="22.5" customHeight="1">
      <c r="B28" s="27" t="s">
        <v>28</v>
      </c>
      <c r="H28" s="48"/>
      <c r="I28" s="2">
        <v>2.6</v>
      </c>
    </row>
    <row r="29" ht="22.5" customHeight="1">
      <c r="B29" s="27" t="s">
        <v>29</v>
      </c>
      <c r="C29" s="35"/>
      <c r="D29" s="36"/>
      <c r="H29" s="48"/>
      <c r="I29" s="2">
        <v>16.3</v>
      </c>
    </row>
    <row r="30" ht="22.5" customHeight="1">
      <c r="A30" s="46" t="s">
        <v>10</v>
      </c>
      <c r="B30" s="33"/>
      <c r="C30" s="33">
        <f t="shared" ref="C30:D30" si="4">sum(C24:C29)</f>
        <v>0</v>
      </c>
      <c r="D30" s="33">
        <f t="shared" si="4"/>
        <v>122</v>
      </c>
      <c r="G30" s="2" t="s">
        <v>30</v>
      </c>
      <c r="I30" s="2">
        <v>17.7</v>
      </c>
    </row>
    <row r="31" ht="22.5" customHeight="1">
      <c r="A31" s="37" t="s">
        <v>10</v>
      </c>
      <c r="I31" s="50">
        <f>SUM(I7:I30)</f>
        <v>501.8</v>
      </c>
    </row>
    <row r="32" ht="22.5" customHeight="1">
      <c r="A32" s="37" t="s">
        <v>31</v>
      </c>
      <c r="B32" s="38"/>
      <c r="C32" s="38"/>
      <c r="D32" s="34">
        <f>C9+C18+C23+C30</f>
        <v>2269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22.5" customHeight="1">
      <c r="A33" s="37" t="s">
        <v>32</v>
      </c>
      <c r="B33" s="29"/>
      <c r="C33" s="29"/>
      <c r="D33" s="28">
        <f>D9+D18+D23+D30</f>
        <v>816</v>
      </c>
    </row>
    <row r="34" ht="22.5" customHeight="1">
      <c r="A34" s="37" t="s">
        <v>33</v>
      </c>
      <c r="B34" s="29"/>
      <c r="C34" s="29"/>
      <c r="D34" s="30">
        <f>(D33-D32)/2</f>
        <v>-726.5</v>
      </c>
    </row>
    <row r="35">
      <c r="A35" s="14"/>
    </row>
    <row r="36">
      <c r="A36" s="2" t="s">
        <v>34</v>
      </c>
    </row>
    <row r="37">
      <c r="A37" s="2"/>
      <c r="B37" s="2"/>
      <c r="E37" s="39"/>
      <c r="F37" s="39"/>
      <c r="H37" s="39"/>
      <c r="I37" s="39"/>
    </row>
    <row r="38" ht="22.5" customHeight="1">
      <c r="A38" s="25" t="s">
        <v>35</v>
      </c>
      <c r="B38" s="25" t="s">
        <v>36</v>
      </c>
      <c r="E38" s="25" t="s">
        <v>37</v>
      </c>
      <c r="F38" s="25" t="s">
        <v>36</v>
      </c>
      <c r="H38" s="15" t="s">
        <v>38</v>
      </c>
      <c r="I38" s="16">
        <f>B45-F45</f>
        <v>-1219.5</v>
      </c>
    </row>
    <row r="39" ht="22.5" customHeight="1">
      <c r="A39" s="40" t="s">
        <v>39</v>
      </c>
      <c r="B39" s="41">
        <f>D34</f>
        <v>-726.5</v>
      </c>
      <c r="E39" s="40" t="s">
        <v>40</v>
      </c>
      <c r="F39" s="42">
        <v>300.0</v>
      </c>
    </row>
    <row r="40" ht="22.5" customHeight="1">
      <c r="A40" s="40" t="s">
        <v>41</v>
      </c>
      <c r="B40" s="40">
        <v>-387.0</v>
      </c>
      <c r="E40" s="43" t="s">
        <v>94</v>
      </c>
      <c r="F40" s="40">
        <v>40.0</v>
      </c>
      <c r="H40" s="3"/>
    </row>
    <row r="41" ht="22.5" customHeight="1">
      <c r="A41" s="40" t="s">
        <v>43</v>
      </c>
      <c r="B41" s="40">
        <v>115.0</v>
      </c>
      <c r="D41" s="2"/>
      <c r="E41" s="40"/>
      <c r="F41" s="42"/>
      <c r="G41" s="2"/>
      <c r="H41" s="2"/>
    </row>
    <row r="42" ht="22.5" customHeight="1">
      <c r="A42" s="40" t="s">
        <v>95</v>
      </c>
      <c r="B42" s="40">
        <f>5</f>
        <v>5</v>
      </c>
      <c r="E42" s="40"/>
      <c r="F42" s="42"/>
      <c r="H42" s="2"/>
    </row>
    <row r="43" ht="22.5" customHeight="1">
      <c r="A43" s="40"/>
      <c r="B43" s="40">
        <v>7.0</v>
      </c>
      <c r="E43" s="40"/>
      <c r="F43" s="40"/>
      <c r="H43" s="2"/>
    </row>
    <row r="44" ht="22.5" customHeight="1">
      <c r="A44" s="40"/>
      <c r="B44" s="44">
        <v>107.0</v>
      </c>
      <c r="E44" s="40"/>
      <c r="F44" s="40"/>
      <c r="H44" s="2"/>
    </row>
    <row r="45" ht="22.5" customHeight="1">
      <c r="A45" s="40" t="s">
        <v>10</v>
      </c>
      <c r="B45" s="45">
        <f>sum(B39:B44)</f>
        <v>-879.5</v>
      </c>
      <c r="E45" s="40" t="s">
        <v>10</v>
      </c>
      <c r="F45" s="41">
        <f>sum(F39:F44)</f>
        <v>340</v>
      </c>
      <c r="H45" s="2"/>
    </row>
    <row r="48">
      <c r="A48" s="2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</sheetData>
  <drawing r:id="rId2"/>
  <legacyDrawing r:id="rId3"/>
  <tableParts count="3">
    <tablePart r:id="rId7"/>
    <tablePart r:id="rId8"/>
    <tablePart r:id="rId9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3.38"/>
    <col customWidth="1" min="5" max="5" width="15.5"/>
    <col customWidth="1" min="8" max="8" width="25.25"/>
    <col customWidth="1" min="10" max="10" width="19.75"/>
  </cols>
  <sheetData>
    <row r="1" ht="22.5" customHeight="1">
      <c r="A1" s="24" t="s">
        <v>80</v>
      </c>
      <c r="B1" s="24" t="s">
        <v>81</v>
      </c>
      <c r="C1" s="25" t="s">
        <v>0</v>
      </c>
      <c r="D1" s="25" t="s">
        <v>1</v>
      </c>
      <c r="F1" s="2"/>
    </row>
    <row r="2" ht="22.5" customHeight="1">
      <c r="A2" s="26" t="s">
        <v>2</v>
      </c>
      <c r="B2" s="27" t="s">
        <v>3</v>
      </c>
      <c r="D2" s="28">
        <f>11+3+12+9+2+8</f>
        <v>45</v>
      </c>
      <c r="F2" s="2"/>
      <c r="G2" s="2"/>
      <c r="H2" s="2"/>
      <c r="I2" s="2"/>
      <c r="J2" s="2"/>
    </row>
    <row r="3" ht="22.5" customHeight="1">
      <c r="A3" s="29"/>
      <c r="B3" s="28" t="s">
        <v>4</v>
      </c>
      <c r="C3" s="29"/>
      <c r="D3" s="28"/>
      <c r="E3" s="13"/>
      <c r="F3" s="3"/>
      <c r="G3" s="13"/>
      <c r="H3" s="3"/>
      <c r="I3" s="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4.75" customHeight="1">
      <c r="B4" s="27" t="s">
        <v>5</v>
      </c>
      <c r="D4" s="27">
        <f>37+56+37</f>
        <v>130</v>
      </c>
      <c r="F4" s="2"/>
      <c r="G4" s="2"/>
      <c r="H4" s="2"/>
      <c r="I4" s="2"/>
      <c r="J4" s="2"/>
    </row>
    <row r="5" ht="22.5" customHeight="1">
      <c r="B5" s="27" t="s">
        <v>6</v>
      </c>
      <c r="C5" s="34">
        <f>24+35+28+29</f>
        <v>116</v>
      </c>
      <c r="D5" s="30">
        <f>61+66+61+68+62</f>
        <v>318</v>
      </c>
      <c r="F5" s="2"/>
      <c r="G5" s="2"/>
      <c r="H5" s="3"/>
      <c r="I5" s="2"/>
      <c r="J5" s="2"/>
    </row>
    <row r="6" ht="22.5" customHeight="1">
      <c r="B6" s="27"/>
      <c r="C6" s="27"/>
      <c r="D6" s="30"/>
      <c r="F6" s="2"/>
      <c r="H6" s="3"/>
    </row>
    <row r="7" ht="22.5" customHeight="1">
      <c r="A7" s="26" t="s">
        <v>7</v>
      </c>
      <c r="B7" s="27" t="s">
        <v>8</v>
      </c>
      <c r="D7" s="30"/>
      <c r="F7" s="2"/>
      <c r="H7" s="48"/>
      <c r="I7" s="2">
        <v>4.5</v>
      </c>
      <c r="J7" s="47"/>
      <c r="K7" s="31"/>
    </row>
    <row r="8" ht="22.5" customHeight="1">
      <c r="B8" s="27"/>
      <c r="C8" s="27"/>
      <c r="D8" s="30"/>
      <c r="F8" s="2"/>
      <c r="H8" s="48"/>
      <c r="I8" s="2">
        <v>13.6</v>
      </c>
      <c r="J8" s="47"/>
      <c r="K8" s="31"/>
    </row>
    <row r="9" ht="22.5" customHeight="1">
      <c r="B9" s="32"/>
      <c r="C9" s="33">
        <f t="shared" ref="C9:D9" si="1">SUM(C2:C8)</f>
        <v>116</v>
      </c>
      <c r="D9" s="33">
        <f t="shared" si="1"/>
        <v>493</v>
      </c>
      <c r="E9" s="2"/>
      <c r="F9" s="2"/>
      <c r="H9" s="48"/>
      <c r="I9" s="2">
        <v>38.4</v>
      </c>
      <c r="J9" s="47"/>
      <c r="K9" s="31"/>
    </row>
    <row r="10" ht="22.5" customHeight="1">
      <c r="B10" s="27" t="s">
        <v>11</v>
      </c>
      <c r="D10" s="27">
        <v>31.0</v>
      </c>
      <c r="F10" s="2"/>
      <c r="H10" s="48"/>
      <c r="I10" s="2">
        <v>10.3</v>
      </c>
      <c r="J10" s="47"/>
      <c r="K10" s="31"/>
    </row>
    <row r="11" ht="22.5" customHeight="1">
      <c r="B11" s="27" t="s">
        <v>12</v>
      </c>
      <c r="D11" s="27"/>
      <c r="E11" s="7"/>
      <c r="F11" s="2"/>
      <c r="H11" s="48"/>
      <c r="I11" s="2">
        <v>33.0</v>
      </c>
      <c r="J11" s="47"/>
      <c r="K11" s="31"/>
    </row>
    <row r="12" ht="22.5" customHeight="1">
      <c r="B12" s="27" t="s">
        <v>13</v>
      </c>
      <c r="D12" s="27">
        <v>115.0</v>
      </c>
      <c r="F12" s="2"/>
      <c r="H12" s="48"/>
      <c r="I12" s="2">
        <v>12.5</v>
      </c>
      <c r="J12" s="47"/>
      <c r="K12" s="31"/>
    </row>
    <row r="13" ht="22.5" customHeight="1">
      <c r="B13" s="27" t="s">
        <v>14</v>
      </c>
      <c r="D13" s="27">
        <v>137.0</v>
      </c>
      <c r="H13" s="48"/>
      <c r="I13" s="2">
        <v>2.6</v>
      </c>
      <c r="J13" s="47"/>
      <c r="K13" s="31"/>
    </row>
    <row r="14" ht="22.5" customHeight="1">
      <c r="B14" s="27" t="s">
        <v>15</v>
      </c>
      <c r="C14" s="27">
        <f>33</f>
        <v>33</v>
      </c>
      <c r="D14" s="27"/>
      <c r="H14" s="48"/>
      <c r="I14" s="2">
        <v>31.7</v>
      </c>
      <c r="J14" s="47"/>
      <c r="K14" s="31"/>
    </row>
    <row r="15" ht="22.5" customHeight="1">
      <c r="B15" s="27" t="s">
        <v>16</v>
      </c>
      <c r="C15" s="27"/>
      <c r="H15" s="48"/>
      <c r="I15" s="2">
        <v>16.3</v>
      </c>
      <c r="K15" s="31"/>
    </row>
    <row r="16" ht="22.5" customHeight="1">
      <c r="B16" s="27" t="s">
        <v>17</v>
      </c>
      <c r="D16" s="27"/>
      <c r="G16" s="2"/>
      <c r="H16" s="48"/>
      <c r="I16" s="23">
        <v>43.1</v>
      </c>
      <c r="K16" s="31"/>
    </row>
    <row r="17" ht="22.5" customHeight="1">
      <c r="B17" s="27" t="s">
        <v>74</v>
      </c>
      <c r="C17" s="27"/>
      <c r="D17" s="27">
        <v>3.0</v>
      </c>
      <c r="G17" s="2"/>
      <c r="H17" s="48"/>
      <c r="I17" s="2">
        <v>44.5</v>
      </c>
      <c r="K17" s="31"/>
    </row>
    <row r="18" ht="22.5" customHeight="1">
      <c r="A18" s="33" t="s">
        <v>10</v>
      </c>
      <c r="B18" s="32"/>
      <c r="C18" s="33">
        <f t="shared" ref="C18:D18" si="2">SUM(C10:C17)</f>
        <v>33</v>
      </c>
      <c r="D18" s="33">
        <f t="shared" si="2"/>
        <v>286</v>
      </c>
      <c r="G18" s="2"/>
      <c r="H18" s="48"/>
      <c r="I18" s="2">
        <v>23.8</v>
      </c>
      <c r="K18" s="31"/>
    </row>
    <row r="19" ht="22.5" customHeight="1">
      <c r="A19" s="26" t="s">
        <v>19</v>
      </c>
      <c r="B19" s="27" t="s">
        <v>20</v>
      </c>
      <c r="C19" s="27">
        <v>48.0</v>
      </c>
      <c r="G19" s="2"/>
      <c r="H19" s="48"/>
      <c r="I19" s="2">
        <v>35.0</v>
      </c>
      <c r="K19" s="31"/>
    </row>
    <row r="20" ht="22.5" customHeight="1">
      <c r="B20" s="27" t="s">
        <v>21</v>
      </c>
      <c r="C20" s="34">
        <f>28</f>
        <v>28</v>
      </c>
      <c r="D20" s="27">
        <v>30.0</v>
      </c>
      <c r="E20" s="2"/>
      <c r="G20" s="2"/>
      <c r="H20" s="48"/>
      <c r="I20" s="2">
        <v>15.8</v>
      </c>
      <c r="K20" s="31"/>
    </row>
    <row r="21" ht="22.5" customHeight="1">
      <c r="B21" s="27"/>
      <c r="C21" s="27"/>
      <c r="D21" s="27"/>
      <c r="E21" s="2"/>
      <c r="G21" s="2"/>
      <c r="H21" s="48"/>
      <c r="I21" s="2">
        <v>13.6</v>
      </c>
      <c r="K21" s="31"/>
    </row>
    <row r="22" ht="22.5" customHeight="1">
      <c r="B22" s="27" t="s">
        <v>22</v>
      </c>
      <c r="C22" s="34"/>
      <c r="D22" s="27"/>
      <c r="G22" s="2"/>
      <c r="H22" s="48"/>
      <c r="I22" s="2">
        <v>33.3</v>
      </c>
      <c r="K22" s="31"/>
    </row>
    <row r="23" ht="22.5" customHeight="1">
      <c r="A23" s="33" t="s">
        <v>10</v>
      </c>
      <c r="B23" s="33"/>
      <c r="C23" s="33">
        <f t="shared" ref="C23:D23" si="3">SUM(C19:C22)</f>
        <v>76</v>
      </c>
      <c r="D23" s="33">
        <f t="shared" si="3"/>
        <v>30</v>
      </c>
      <c r="H23" s="48"/>
      <c r="I23" s="2">
        <v>10.3</v>
      </c>
      <c r="K23" s="31"/>
    </row>
    <row r="24" ht="22.5" customHeight="1">
      <c r="A24" s="26" t="s">
        <v>23</v>
      </c>
      <c r="B24" s="27" t="s">
        <v>24</v>
      </c>
      <c r="H24" s="48"/>
      <c r="I24" s="2">
        <v>17.0</v>
      </c>
      <c r="K24" s="31"/>
    </row>
    <row r="25" ht="22.5" customHeight="1">
      <c r="B25" s="27" t="s">
        <v>25</v>
      </c>
      <c r="D25" s="27">
        <v>30.0</v>
      </c>
      <c r="H25" s="48"/>
      <c r="I25" s="2">
        <v>10.4</v>
      </c>
      <c r="K25" s="31"/>
    </row>
    <row r="26" ht="22.5" customHeight="1">
      <c r="B26" s="27" t="s">
        <v>26</v>
      </c>
      <c r="D26" s="27"/>
      <c r="H26" s="48"/>
      <c r="I26" s="2">
        <v>21.0</v>
      </c>
    </row>
    <row r="27" ht="22.5" customHeight="1">
      <c r="B27" s="27" t="s">
        <v>27</v>
      </c>
      <c r="D27" s="27">
        <v>16.0</v>
      </c>
      <c r="H27" s="48"/>
      <c r="I27" s="2">
        <v>34.5</v>
      </c>
    </row>
    <row r="28" ht="22.5" customHeight="1">
      <c r="B28" s="27" t="s">
        <v>28</v>
      </c>
      <c r="D28" s="27">
        <f>36+11</f>
        <v>47</v>
      </c>
      <c r="H28" s="48"/>
      <c r="I28" s="2">
        <v>2.6</v>
      </c>
    </row>
    <row r="29" ht="22.5" customHeight="1">
      <c r="B29" s="27" t="s">
        <v>29</v>
      </c>
      <c r="C29" s="35"/>
      <c r="D29" s="36"/>
      <c r="H29" s="48"/>
      <c r="I29" s="2">
        <v>16.3</v>
      </c>
    </row>
    <row r="30" ht="22.5" customHeight="1">
      <c r="A30" s="46" t="s">
        <v>10</v>
      </c>
      <c r="B30" s="33"/>
      <c r="C30" s="33">
        <f t="shared" ref="C30:D30" si="4">sum(C24:C29)</f>
        <v>0</v>
      </c>
      <c r="D30" s="33">
        <f t="shared" si="4"/>
        <v>93</v>
      </c>
      <c r="G30" s="2" t="s">
        <v>30</v>
      </c>
      <c r="I30" s="2">
        <v>17.7</v>
      </c>
    </row>
    <row r="31" ht="22.5" customHeight="1">
      <c r="A31" s="37" t="s">
        <v>10</v>
      </c>
      <c r="I31" s="50">
        <f>SUM(I7:I30)</f>
        <v>501.8</v>
      </c>
    </row>
    <row r="32" ht="22.5" customHeight="1">
      <c r="A32" s="37" t="s">
        <v>31</v>
      </c>
      <c r="B32" s="38"/>
      <c r="C32" s="38"/>
      <c r="D32" s="34">
        <f>C9+C18+C23+C30</f>
        <v>225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22.5" customHeight="1">
      <c r="A33" s="37" t="s">
        <v>32</v>
      </c>
      <c r="B33" s="29"/>
      <c r="C33" s="29"/>
      <c r="D33" s="28">
        <f>D9+D18+D23+D30</f>
        <v>902</v>
      </c>
    </row>
    <row r="34" ht="22.5" customHeight="1">
      <c r="A34" s="37" t="s">
        <v>33</v>
      </c>
      <c r="B34" s="29"/>
      <c r="C34" s="29"/>
      <c r="D34" s="30">
        <f>(D33-D32)/2</f>
        <v>338.5</v>
      </c>
    </row>
    <row r="35">
      <c r="A35" s="14"/>
    </row>
    <row r="36">
      <c r="A36" s="2" t="s">
        <v>34</v>
      </c>
    </row>
    <row r="37">
      <c r="A37" s="2"/>
      <c r="B37" s="2"/>
      <c r="E37" s="39"/>
      <c r="F37" s="39"/>
      <c r="H37" s="39"/>
      <c r="I37" s="39"/>
    </row>
    <row r="38" ht="22.5" customHeight="1">
      <c r="A38" s="25" t="s">
        <v>35</v>
      </c>
      <c r="B38" s="25" t="s">
        <v>36</v>
      </c>
      <c r="E38" s="25" t="s">
        <v>37</v>
      </c>
      <c r="F38" s="25" t="s">
        <v>36</v>
      </c>
      <c r="H38" s="15" t="s">
        <v>38</v>
      </c>
      <c r="I38" s="16">
        <f>B45-F45</f>
        <v>-558.5</v>
      </c>
    </row>
    <row r="39" ht="22.5" customHeight="1">
      <c r="A39" s="40" t="s">
        <v>39</v>
      </c>
      <c r="B39" s="41">
        <f>D34</f>
        <v>338.5</v>
      </c>
      <c r="E39" s="40" t="s">
        <v>40</v>
      </c>
      <c r="F39" s="42"/>
    </row>
    <row r="40" ht="22.5" customHeight="1">
      <c r="A40" s="40" t="s">
        <v>41</v>
      </c>
      <c r="B40" s="40">
        <v>-1220.0</v>
      </c>
      <c r="E40" s="43"/>
      <c r="F40" s="40">
        <v>12.0</v>
      </c>
      <c r="H40" s="3"/>
    </row>
    <row r="41" ht="22.5" customHeight="1">
      <c r="A41" s="40" t="s">
        <v>43</v>
      </c>
      <c r="B41" s="40">
        <v>115.0</v>
      </c>
      <c r="D41" s="2"/>
      <c r="E41" s="40"/>
      <c r="F41" s="42"/>
      <c r="G41" s="2"/>
      <c r="H41" s="2"/>
    </row>
    <row r="42" ht="22.5" customHeight="1">
      <c r="A42" s="40" t="s">
        <v>96</v>
      </c>
      <c r="B42" s="40">
        <v>220.0</v>
      </c>
      <c r="E42" s="40"/>
      <c r="F42" s="42"/>
      <c r="H42" s="2"/>
    </row>
    <row r="43" ht="22.5" customHeight="1">
      <c r="A43" s="40"/>
      <c r="B43" s="40"/>
      <c r="E43" s="40"/>
      <c r="F43" s="40"/>
      <c r="H43" s="2"/>
    </row>
    <row r="44" ht="22.5" customHeight="1">
      <c r="A44" s="40"/>
      <c r="B44" s="44"/>
      <c r="E44" s="40"/>
      <c r="F44" s="40"/>
      <c r="H44" s="2"/>
    </row>
    <row r="45" ht="22.5" customHeight="1">
      <c r="A45" s="40" t="s">
        <v>10</v>
      </c>
      <c r="B45" s="45">
        <f>sum(B39:B44)</f>
        <v>-546.5</v>
      </c>
      <c r="E45" s="40" t="s">
        <v>10</v>
      </c>
      <c r="F45" s="41">
        <f>sum(F39:F44)</f>
        <v>12</v>
      </c>
      <c r="H45" s="2"/>
    </row>
    <row r="48">
      <c r="A48" s="2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</sheetData>
  <drawing r:id="rId2"/>
  <legacyDrawing r:id="rId3"/>
  <tableParts count="3">
    <tablePart r:id="rId7"/>
    <tablePart r:id="rId8"/>
    <tablePart r:id="rId9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3.38"/>
    <col customWidth="1" min="5" max="5" width="15.5"/>
    <col customWidth="1" min="8" max="8" width="25.25"/>
    <col customWidth="1" min="10" max="10" width="19.75"/>
  </cols>
  <sheetData>
    <row r="1" ht="22.5" customHeight="1">
      <c r="A1" s="24" t="s">
        <v>80</v>
      </c>
      <c r="B1" s="24" t="s">
        <v>81</v>
      </c>
      <c r="C1" s="25" t="s">
        <v>0</v>
      </c>
      <c r="D1" s="25" t="s">
        <v>1</v>
      </c>
      <c r="F1" s="2"/>
    </row>
    <row r="2" ht="22.5" customHeight="1">
      <c r="A2" s="26" t="s">
        <v>2</v>
      </c>
      <c r="B2" s="27" t="s">
        <v>3</v>
      </c>
      <c r="D2" s="28">
        <f>4+10+8+10</f>
        <v>32</v>
      </c>
      <c r="F2" s="2"/>
      <c r="G2" s="2"/>
      <c r="H2" s="2"/>
      <c r="I2" s="2"/>
      <c r="J2" s="2"/>
    </row>
    <row r="3" ht="22.5" customHeight="1">
      <c r="A3" s="29"/>
      <c r="B3" s="28" t="s">
        <v>4</v>
      </c>
      <c r="C3" s="29"/>
      <c r="D3" s="28"/>
      <c r="E3" s="13"/>
      <c r="F3" s="3"/>
      <c r="G3" s="13"/>
      <c r="H3" s="3"/>
      <c r="I3" s="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4.75" customHeight="1">
      <c r="B4" s="27" t="s">
        <v>5</v>
      </c>
      <c r="D4" s="27">
        <v>40.0</v>
      </c>
      <c r="F4" s="2"/>
      <c r="G4" s="2"/>
      <c r="H4" s="2"/>
      <c r="I4" s="2"/>
      <c r="J4" s="2"/>
    </row>
    <row r="5" ht="22.5" customHeight="1">
      <c r="B5" s="27" t="s">
        <v>6</v>
      </c>
      <c r="C5" s="34">
        <f>27+15+25</f>
        <v>67</v>
      </c>
      <c r="D5" s="30">
        <f>46+52+48+6+84</f>
        <v>236</v>
      </c>
      <c r="F5" s="2"/>
      <c r="G5" s="2"/>
      <c r="H5" s="3"/>
      <c r="I5" s="2"/>
      <c r="J5" s="2"/>
    </row>
    <row r="6" ht="22.5" customHeight="1">
      <c r="B6" s="27"/>
      <c r="C6" s="27"/>
      <c r="D6" s="30"/>
      <c r="F6" s="2"/>
      <c r="H6" s="3"/>
    </row>
    <row r="7" ht="22.5" customHeight="1">
      <c r="A7" s="26" t="s">
        <v>7</v>
      </c>
      <c r="B7" s="27" t="s">
        <v>8</v>
      </c>
      <c r="D7" s="30"/>
      <c r="F7" s="2"/>
      <c r="H7" s="48"/>
      <c r="I7" s="2">
        <v>4.5</v>
      </c>
      <c r="J7" s="47"/>
      <c r="K7" s="31"/>
    </row>
    <row r="8" ht="22.5" customHeight="1">
      <c r="B8" s="27"/>
      <c r="C8" s="27"/>
      <c r="D8" s="30"/>
      <c r="F8" s="2"/>
      <c r="H8" s="48"/>
      <c r="I8" s="2">
        <v>13.6</v>
      </c>
      <c r="J8" s="47"/>
      <c r="K8" s="31"/>
    </row>
    <row r="9" ht="22.5" customHeight="1">
      <c r="B9" s="32"/>
      <c r="C9" s="33">
        <f t="shared" ref="C9:D9" si="1">SUM(C2:C8)</f>
        <v>67</v>
      </c>
      <c r="D9" s="33">
        <f t="shared" si="1"/>
        <v>308</v>
      </c>
      <c r="E9" s="2"/>
      <c r="F9" s="2"/>
      <c r="H9" s="48"/>
      <c r="I9" s="2">
        <v>38.4</v>
      </c>
      <c r="J9" s="47"/>
      <c r="K9" s="31"/>
    </row>
    <row r="10" ht="22.5" customHeight="1">
      <c r="B10" s="27" t="s">
        <v>11</v>
      </c>
      <c r="D10" s="27">
        <v>31.0</v>
      </c>
      <c r="F10" s="2"/>
      <c r="H10" s="48"/>
      <c r="I10" s="2">
        <v>10.3</v>
      </c>
      <c r="J10" s="47"/>
      <c r="K10" s="31"/>
    </row>
    <row r="11" ht="22.5" customHeight="1">
      <c r="B11" s="27" t="s">
        <v>12</v>
      </c>
      <c r="D11" s="27"/>
      <c r="E11" s="7"/>
      <c r="F11" s="2"/>
      <c r="H11" s="48"/>
      <c r="I11" s="2">
        <v>33.0</v>
      </c>
      <c r="J11" s="47"/>
      <c r="K11" s="31"/>
    </row>
    <row r="12" ht="22.5" customHeight="1">
      <c r="B12" s="27" t="s">
        <v>13</v>
      </c>
      <c r="D12" s="27">
        <v>115.0</v>
      </c>
      <c r="F12" s="2"/>
      <c r="H12" s="48"/>
      <c r="I12" s="2">
        <v>12.5</v>
      </c>
      <c r="J12" s="47"/>
      <c r="K12" s="31"/>
    </row>
    <row r="13" ht="22.5" customHeight="1">
      <c r="B13" s="27" t="s">
        <v>14</v>
      </c>
      <c r="D13" s="27"/>
      <c r="H13" s="48"/>
      <c r="I13" s="2">
        <v>2.6</v>
      </c>
      <c r="J13" s="47"/>
      <c r="K13" s="31"/>
    </row>
    <row r="14" ht="22.5" customHeight="1">
      <c r="B14" s="27" t="s">
        <v>15</v>
      </c>
      <c r="C14" s="27">
        <f>33</f>
        <v>33</v>
      </c>
      <c r="D14" s="27"/>
      <c r="H14" s="48"/>
      <c r="I14" s="2">
        <v>31.7</v>
      </c>
      <c r="J14" s="47"/>
      <c r="K14" s="31"/>
    </row>
    <row r="15" ht="22.5" customHeight="1">
      <c r="B15" s="27" t="s">
        <v>16</v>
      </c>
      <c r="C15" s="27"/>
      <c r="H15" s="48"/>
      <c r="I15" s="2">
        <v>16.3</v>
      </c>
      <c r="K15" s="31"/>
    </row>
    <row r="16" ht="22.5" customHeight="1">
      <c r="B16" s="27" t="s">
        <v>17</v>
      </c>
      <c r="D16" s="27"/>
      <c r="G16" s="2"/>
      <c r="H16" s="48"/>
      <c r="I16" s="23">
        <v>43.1</v>
      </c>
      <c r="K16" s="31"/>
    </row>
    <row r="17" ht="22.5" customHeight="1">
      <c r="B17" s="27" t="s">
        <v>74</v>
      </c>
      <c r="C17" s="27"/>
      <c r="D17" s="27">
        <v>2.0</v>
      </c>
      <c r="G17" s="2"/>
      <c r="H17" s="48"/>
      <c r="I17" s="2">
        <v>44.5</v>
      </c>
      <c r="K17" s="31"/>
    </row>
    <row r="18" ht="22.5" customHeight="1">
      <c r="A18" s="33" t="s">
        <v>10</v>
      </c>
      <c r="B18" s="32"/>
      <c r="C18" s="33">
        <f t="shared" ref="C18:D18" si="2">SUM(C10:C17)</f>
        <v>33</v>
      </c>
      <c r="D18" s="33">
        <f t="shared" si="2"/>
        <v>148</v>
      </c>
      <c r="G18" s="2"/>
      <c r="H18" s="48"/>
      <c r="I18" s="2">
        <v>23.8</v>
      </c>
      <c r="K18" s="31"/>
    </row>
    <row r="19" ht="22.5" customHeight="1">
      <c r="A19" s="26" t="s">
        <v>19</v>
      </c>
      <c r="B19" s="27" t="s">
        <v>20</v>
      </c>
      <c r="C19" s="27"/>
      <c r="G19" s="2"/>
      <c r="H19" s="48"/>
      <c r="I19" s="2">
        <v>35.0</v>
      </c>
      <c r="K19" s="31"/>
    </row>
    <row r="20" ht="22.5" customHeight="1">
      <c r="B20" s="27" t="s">
        <v>21</v>
      </c>
      <c r="C20" s="34">
        <f>1200+50</f>
        <v>1250</v>
      </c>
      <c r="D20" s="27">
        <f>40+213+13</f>
        <v>266</v>
      </c>
      <c r="E20" s="2"/>
      <c r="G20" s="2"/>
      <c r="H20" s="48"/>
      <c r="I20" s="2">
        <v>15.8</v>
      </c>
      <c r="K20" s="31"/>
    </row>
    <row r="21" ht="22.5" customHeight="1">
      <c r="B21" s="27"/>
      <c r="C21" s="27"/>
      <c r="D21" s="27"/>
      <c r="E21" s="2"/>
      <c r="G21" s="2"/>
      <c r="H21" s="48"/>
      <c r="I21" s="2">
        <v>13.6</v>
      </c>
      <c r="K21" s="31"/>
    </row>
    <row r="22" ht="22.5" customHeight="1">
      <c r="B22" s="27" t="s">
        <v>22</v>
      </c>
      <c r="C22" s="34"/>
      <c r="D22" s="27"/>
      <c r="G22" s="2"/>
      <c r="H22" s="48"/>
      <c r="I22" s="2">
        <v>33.3</v>
      </c>
      <c r="K22" s="31"/>
    </row>
    <row r="23" ht="22.5" customHeight="1">
      <c r="A23" s="33" t="s">
        <v>10</v>
      </c>
      <c r="B23" s="33"/>
      <c r="C23" s="33">
        <f t="shared" ref="C23:D23" si="3">SUM(C19:C22)</f>
        <v>1250</v>
      </c>
      <c r="D23" s="33">
        <f t="shared" si="3"/>
        <v>266</v>
      </c>
      <c r="H23" s="48"/>
      <c r="I23" s="2">
        <v>10.3</v>
      </c>
      <c r="K23" s="31"/>
    </row>
    <row r="24" ht="22.5" customHeight="1">
      <c r="A24" s="26" t="s">
        <v>23</v>
      </c>
      <c r="B24" s="27" t="s">
        <v>24</v>
      </c>
      <c r="H24" s="48"/>
      <c r="I24" s="2">
        <v>17.0</v>
      </c>
      <c r="K24" s="31"/>
    </row>
    <row r="25" ht="22.5" customHeight="1">
      <c r="B25" s="27" t="s">
        <v>25</v>
      </c>
      <c r="D25" s="27">
        <v>30.0</v>
      </c>
      <c r="H25" s="48"/>
      <c r="I25" s="2">
        <v>10.4</v>
      </c>
      <c r="K25" s="31"/>
    </row>
    <row r="26" ht="22.5" customHeight="1">
      <c r="B26" s="27" t="s">
        <v>26</v>
      </c>
      <c r="D26" s="27"/>
      <c r="H26" s="48"/>
      <c r="I26" s="2">
        <v>21.0</v>
      </c>
    </row>
    <row r="27" ht="22.5" customHeight="1">
      <c r="B27" s="27" t="s">
        <v>27</v>
      </c>
      <c r="D27" s="27">
        <v>58.0</v>
      </c>
      <c r="H27" s="48"/>
      <c r="I27" s="2">
        <v>34.5</v>
      </c>
    </row>
    <row r="28" ht="22.5" customHeight="1">
      <c r="B28" s="27" t="s">
        <v>28</v>
      </c>
      <c r="D28" s="27"/>
      <c r="H28" s="48"/>
      <c r="I28" s="2">
        <v>2.6</v>
      </c>
    </row>
    <row r="29" ht="22.5" customHeight="1">
      <c r="B29" s="27" t="s">
        <v>29</v>
      </c>
      <c r="C29" s="35"/>
      <c r="D29" s="36"/>
      <c r="H29" s="48"/>
      <c r="I29" s="2">
        <v>16.3</v>
      </c>
    </row>
    <row r="30" ht="22.5" customHeight="1">
      <c r="A30" s="46" t="s">
        <v>10</v>
      </c>
      <c r="B30" s="33"/>
      <c r="C30" s="33">
        <f t="shared" ref="C30:D30" si="4">sum(C24:C29)</f>
        <v>0</v>
      </c>
      <c r="D30" s="33">
        <f t="shared" si="4"/>
        <v>88</v>
      </c>
      <c r="G30" s="2" t="s">
        <v>30</v>
      </c>
      <c r="I30" s="2">
        <v>17.7</v>
      </c>
    </row>
    <row r="31" ht="22.5" customHeight="1">
      <c r="A31" s="37" t="s">
        <v>10</v>
      </c>
      <c r="I31" s="50">
        <f>SUM(I7:I30)</f>
        <v>501.8</v>
      </c>
    </row>
    <row r="32" ht="22.5" customHeight="1">
      <c r="A32" s="37" t="s">
        <v>31</v>
      </c>
      <c r="B32" s="38"/>
      <c r="C32" s="38"/>
      <c r="D32" s="34">
        <f>C9+C18+C23+C30</f>
        <v>1350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22.5" customHeight="1">
      <c r="A33" s="37" t="s">
        <v>32</v>
      </c>
      <c r="B33" s="29"/>
      <c r="C33" s="29"/>
      <c r="D33" s="28">
        <f>D9+D18+D23+D30</f>
        <v>810</v>
      </c>
    </row>
    <row r="34" ht="22.5" customHeight="1">
      <c r="A34" s="37" t="s">
        <v>33</v>
      </c>
      <c r="B34" s="29"/>
      <c r="C34" s="29"/>
      <c r="D34" s="30">
        <f>(D33-D32)/2</f>
        <v>-270</v>
      </c>
    </row>
    <row r="35">
      <c r="A35" s="14"/>
    </row>
    <row r="36">
      <c r="A36" s="2" t="s">
        <v>34</v>
      </c>
    </row>
    <row r="37">
      <c r="A37" s="2"/>
      <c r="B37" s="2"/>
      <c r="E37" s="39"/>
      <c r="F37" s="39"/>
      <c r="H37" s="39"/>
      <c r="I37" s="39"/>
    </row>
    <row r="38" ht="22.5" customHeight="1">
      <c r="A38" s="25" t="s">
        <v>35</v>
      </c>
      <c r="B38" s="25" t="s">
        <v>36</v>
      </c>
      <c r="E38" s="25" t="s">
        <v>37</v>
      </c>
      <c r="F38" s="25" t="s">
        <v>36</v>
      </c>
      <c r="H38" s="15" t="s">
        <v>38</v>
      </c>
      <c r="I38" s="16">
        <f>B45-F45</f>
        <v>-656</v>
      </c>
    </row>
    <row r="39" ht="22.5" customHeight="1">
      <c r="A39" s="40" t="s">
        <v>39</v>
      </c>
      <c r="B39" s="41">
        <f>D34</f>
        <v>-270</v>
      </c>
      <c r="E39" s="40" t="s">
        <v>40</v>
      </c>
      <c r="F39" s="42"/>
    </row>
    <row r="40" ht="22.5" customHeight="1">
      <c r="A40" s="40" t="s">
        <v>41</v>
      </c>
      <c r="B40" s="40">
        <v>-559.0</v>
      </c>
      <c r="E40" s="43"/>
      <c r="F40" s="40"/>
      <c r="H40" s="3"/>
    </row>
    <row r="41" ht="22.5" customHeight="1">
      <c r="A41" s="40" t="s">
        <v>43</v>
      </c>
      <c r="B41" s="40">
        <v>115.0</v>
      </c>
      <c r="D41" s="2"/>
      <c r="E41" s="40"/>
      <c r="F41" s="42"/>
      <c r="G41" s="2"/>
      <c r="H41" s="2"/>
    </row>
    <row r="42" ht="22.5" customHeight="1">
      <c r="A42" s="40" t="s">
        <v>77</v>
      </c>
      <c r="B42" s="40">
        <v>11.0</v>
      </c>
      <c r="E42" s="40"/>
      <c r="F42" s="42"/>
      <c r="H42" s="2"/>
    </row>
    <row r="43" ht="22.5" customHeight="1">
      <c r="A43" s="40" t="s">
        <v>97</v>
      </c>
      <c r="B43" s="40">
        <v>47.0</v>
      </c>
      <c r="E43" s="40"/>
      <c r="F43" s="40"/>
      <c r="H43" s="2"/>
    </row>
    <row r="44" ht="22.5" customHeight="1">
      <c r="A44" s="40"/>
      <c r="B44" s="44"/>
      <c r="E44" s="40"/>
      <c r="F44" s="40"/>
      <c r="H44" s="2"/>
    </row>
    <row r="45" ht="22.5" customHeight="1">
      <c r="A45" s="40" t="s">
        <v>10</v>
      </c>
      <c r="B45" s="45">
        <f>sum(B39:B44)</f>
        <v>-656</v>
      </c>
      <c r="E45" s="40" t="s">
        <v>10</v>
      </c>
      <c r="F45" s="41">
        <f>sum(F39:F44)</f>
        <v>0</v>
      </c>
      <c r="H45" s="2"/>
    </row>
    <row r="48">
      <c r="A48" s="2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</sheetData>
  <drawing r:id="rId2"/>
  <legacyDrawing r:id="rId3"/>
  <tableParts count="3">
    <tablePart r:id="rId7"/>
    <tablePart r:id="rId8"/>
    <tablePart r:id="rId9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3.38"/>
    <col customWidth="1" min="5" max="5" width="15.5"/>
    <col customWidth="1" min="8" max="8" width="25.25"/>
    <col customWidth="1" min="10" max="10" width="19.75"/>
  </cols>
  <sheetData>
    <row r="1" ht="22.5" customHeight="1">
      <c r="A1" s="24" t="s">
        <v>80</v>
      </c>
      <c r="B1" s="24" t="s">
        <v>81</v>
      </c>
      <c r="C1" s="25" t="s">
        <v>0</v>
      </c>
      <c r="D1" s="25" t="s">
        <v>1</v>
      </c>
      <c r="F1" s="2"/>
    </row>
    <row r="2" ht="22.5" customHeight="1">
      <c r="A2" s="26" t="s">
        <v>2</v>
      </c>
      <c r="B2" s="27" t="s">
        <v>3</v>
      </c>
      <c r="C2" s="34">
        <f>5+9+27</f>
        <v>41</v>
      </c>
      <c r="D2" s="28">
        <f>19+13</f>
        <v>32</v>
      </c>
      <c r="F2" s="2"/>
      <c r="G2" s="2"/>
      <c r="H2" s="2"/>
      <c r="I2" s="2"/>
      <c r="J2" s="2"/>
    </row>
    <row r="3" ht="22.5" customHeight="1">
      <c r="A3" s="29"/>
      <c r="B3" s="28" t="s">
        <v>4</v>
      </c>
      <c r="C3" s="29"/>
      <c r="D3" s="28"/>
      <c r="E3" s="13"/>
      <c r="F3" s="3"/>
      <c r="G3" s="13"/>
      <c r="H3" s="3"/>
      <c r="I3" s="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4.75" customHeight="1">
      <c r="B4" s="27" t="s">
        <v>5</v>
      </c>
      <c r="D4" s="27">
        <v>66.0</v>
      </c>
      <c r="F4" s="2"/>
      <c r="G4" s="2"/>
      <c r="H4" s="2"/>
      <c r="I4" s="2"/>
      <c r="J4" s="2"/>
    </row>
    <row r="5" ht="22.5" customHeight="1">
      <c r="B5" s="27" t="s">
        <v>6</v>
      </c>
      <c r="C5" s="34">
        <f>18+25+36+40</f>
        <v>119</v>
      </c>
      <c r="D5" s="30">
        <f>60+9+27+91+69+10+79</f>
        <v>345</v>
      </c>
      <c r="F5" s="2"/>
      <c r="G5" s="2"/>
      <c r="H5" s="3"/>
      <c r="I5" s="2"/>
      <c r="J5" s="2"/>
    </row>
    <row r="6" ht="22.5" customHeight="1">
      <c r="B6" s="27"/>
      <c r="C6" s="27"/>
      <c r="D6" s="30"/>
      <c r="F6" s="2"/>
      <c r="H6" s="3"/>
    </row>
    <row r="7" ht="22.5" customHeight="1">
      <c r="A7" s="26" t="s">
        <v>7</v>
      </c>
      <c r="B7" s="27" t="s">
        <v>8</v>
      </c>
      <c r="D7" s="30"/>
      <c r="F7" s="2"/>
      <c r="H7" s="48"/>
      <c r="I7" s="2">
        <v>4.5</v>
      </c>
      <c r="J7" s="47"/>
      <c r="K7" s="31"/>
    </row>
    <row r="8" ht="22.5" customHeight="1">
      <c r="B8" s="27"/>
      <c r="C8" s="27"/>
      <c r="D8" s="30"/>
      <c r="F8" s="2"/>
      <c r="H8" s="48"/>
      <c r="I8" s="2">
        <v>13.6</v>
      </c>
      <c r="J8" s="47"/>
      <c r="K8" s="31"/>
    </row>
    <row r="9" ht="22.5" customHeight="1">
      <c r="B9" s="32"/>
      <c r="C9" s="33">
        <f t="shared" ref="C9:D9" si="1">SUM(C2:C8)</f>
        <v>160</v>
      </c>
      <c r="D9" s="33">
        <f t="shared" si="1"/>
        <v>443</v>
      </c>
      <c r="E9" s="2"/>
      <c r="F9" s="2"/>
      <c r="H9" s="48"/>
      <c r="I9" s="2">
        <v>38.4</v>
      </c>
      <c r="J9" s="47"/>
      <c r="K9" s="31"/>
    </row>
    <row r="10" ht="22.5" customHeight="1">
      <c r="B10" s="27" t="s">
        <v>11</v>
      </c>
      <c r="D10" s="27">
        <f>31+444</f>
        <v>475</v>
      </c>
      <c r="F10" s="2"/>
      <c r="H10" s="48"/>
      <c r="I10" s="2">
        <v>10.3</v>
      </c>
      <c r="J10" s="47"/>
      <c r="K10" s="31"/>
    </row>
    <row r="11" ht="22.5" customHeight="1">
      <c r="B11" s="27" t="s">
        <v>12</v>
      </c>
      <c r="D11" s="27"/>
      <c r="E11" s="7"/>
      <c r="F11" s="2"/>
      <c r="H11" s="48"/>
      <c r="I11" s="2">
        <v>33.0</v>
      </c>
      <c r="J11" s="47"/>
      <c r="K11" s="31"/>
    </row>
    <row r="12" ht="22.5" customHeight="1">
      <c r="B12" s="27" t="s">
        <v>13</v>
      </c>
      <c r="D12" s="27">
        <v>115.0</v>
      </c>
      <c r="F12" s="2"/>
      <c r="H12" s="48"/>
      <c r="I12" s="2">
        <v>12.5</v>
      </c>
      <c r="J12" s="47"/>
      <c r="K12" s="31"/>
    </row>
    <row r="13" ht="22.5" customHeight="1">
      <c r="B13" s="27" t="s">
        <v>14</v>
      </c>
      <c r="D13" s="27"/>
      <c r="H13" s="48"/>
      <c r="I13" s="2">
        <v>2.6</v>
      </c>
      <c r="J13" s="47"/>
      <c r="K13" s="31"/>
    </row>
    <row r="14" ht="22.5" customHeight="1">
      <c r="B14" s="27" t="s">
        <v>15</v>
      </c>
      <c r="C14" s="27">
        <f>33</f>
        <v>33</v>
      </c>
      <c r="D14" s="27"/>
      <c r="H14" s="48"/>
      <c r="I14" s="2">
        <v>31.7</v>
      </c>
      <c r="J14" s="47"/>
      <c r="K14" s="31"/>
    </row>
    <row r="15" ht="22.5" customHeight="1">
      <c r="B15" s="27" t="s">
        <v>16</v>
      </c>
      <c r="C15" s="27"/>
      <c r="H15" s="48"/>
      <c r="I15" s="2">
        <v>16.3</v>
      </c>
      <c r="K15" s="31"/>
    </row>
    <row r="16" ht="22.5" customHeight="1">
      <c r="B16" s="27" t="s">
        <v>17</v>
      </c>
      <c r="D16" s="27"/>
      <c r="G16" s="2"/>
      <c r="H16" s="48"/>
      <c r="I16" s="23">
        <v>43.1</v>
      </c>
      <c r="K16" s="31"/>
    </row>
    <row r="17" ht="22.5" customHeight="1">
      <c r="B17" s="27" t="s">
        <v>74</v>
      </c>
      <c r="C17" s="27"/>
      <c r="D17" s="27"/>
      <c r="G17" s="2"/>
      <c r="H17" s="48"/>
      <c r="I17" s="2">
        <v>44.5</v>
      </c>
      <c r="K17" s="31"/>
    </row>
    <row r="18" ht="22.5" customHeight="1">
      <c r="A18" s="33" t="s">
        <v>10</v>
      </c>
      <c r="B18" s="32"/>
      <c r="C18" s="33">
        <f t="shared" ref="C18:D18" si="2">SUM(C10:C17)</f>
        <v>33</v>
      </c>
      <c r="D18" s="33">
        <f t="shared" si="2"/>
        <v>590</v>
      </c>
      <c r="G18" s="2"/>
      <c r="H18" s="48"/>
      <c r="I18" s="2">
        <v>23.8</v>
      </c>
      <c r="K18" s="31"/>
    </row>
    <row r="19" ht="22.5" customHeight="1">
      <c r="A19" s="26" t="s">
        <v>19</v>
      </c>
      <c r="B19" s="27" t="s">
        <v>20</v>
      </c>
      <c r="C19" s="27"/>
      <c r="G19" s="2"/>
      <c r="H19" s="48"/>
      <c r="I19" s="2">
        <v>35.0</v>
      </c>
      <c r="K19" s="31"/>
    </row>
    <row r="20" ht="22.5" customHeight="1">
      <c r="B20" s="27" t="s">
        <v>21</v>
      </c>
      <c r="C20" s="34">
        <f>90</f>
        <v>90</v>
      </c>
      <c r="D20" s="27"/>
      <c r="E20" s="2"/>
      <c r="G20" s="2"/>
      <c r="H20" s="48"/>
      <c r="I20" s="2">
        <v>15.8</v>
      </c>
      <c r="K20" s="31"/>
    </row>
    <row r="21" ht="22.5" customHeight="1">
      <c r="B21" s="27"/>
      <c r="C21" s="27"/>
      <c r="D21" s="27"/>
      <c r="E21" s="2"/>
      <c r="G21" s="2"/>
      <c r="H21" s="48"/>
      <c r="I21" s="2">
        <v>13.6</v>
      </c>
      <c r="K21" s="31"/>
    </row>
    <row r="22" ht="22.5" customHeight="1">
      <c r="B22" s="27" t="s">
        <v>22</v>
      </c>
      <c r="C22" s="34"/>
      <c r="D22" s="27"/>
      <c r="G22" s="2"/>
      <c r="H22" s="48"/>
      <c r="I22" s="2">
        <v>33.3</v>
      </c>
      <c r="K22" s="31"/>
    </row>
    <row r="23" ht="22.5" customHeight="1">
      <c r="A23" s="33" t="s">
        <v>10</v>
      </c>
      <c r="B23" s="33"/>
      <c r="C23" s="33">
        <f t="shared" ref="C23:D23" si="3">SUM(C19:C22)</f>
        <v>90</v>
      </c>
      <c r="D23" s="33">
        <f t="shared" si="3"/>
        <v>0</v>
      </c>
      <c r="H23" s="48"/>
      <c r="I23" s="2">
        <v>10.3</v>
      </c>
      <c r="K23" s="31"/>
    </row>
    <row r="24" ht="22.5" customHeight="1">
      <c r="A24" s="26" t="s">
        <v>23</v>
      </c>
      <c r="B24" s="27" t="s">
        <v>24</v>
      </c>
      <c r="H24" s="48"/>
      <c r="I24" s="2">
        <v>17.0</v>
      </c>
      <c r="K24" s="31"/>
    </row>
    <row r="25" ht="22.5" customHeight="1">
      <c r="B25" s="27" t="s">
        <v>25</v>
      </c>
      <c r="D25" s="27">
        <v>30.0</v>
      </c>
      <c r="H25" s="48"/>
      <c r="I25" s="2">
        <v>10.4</v>
      </c>
      <c r="K25" s="31"/>
    </row>
    <row r="26" ht="22.5" customHeight="1">
      <c r="B26" s="27" t="s">
        <v>26</v>
      </c>
      <c r="D26" s="27"/>
      <c r="H26" s="48"/>
      <c r="I26" s="2">
        <v>21.0</v>
      </c>
    </row>
    <row r="27" ht="22.5" customHeight="1">
      <c r="B27" s="27" t="s">
        <v>27</v>
      </c>
      <c r="D27" s="27"/>
      <c r="H27" s="48"/>
      <c r="I27" s="2">
        <v>34.5</v>
      </c>
    </row>
    <row r="28" ht="22.5" customHeight="1">
      <c r="B28" s="27" t="s">
        <v>28</v>
      </c>
      <c r="D28" s="27"/>
      <c r="H28" s="48"/>
      <c r="I28" s="2">
        <v>2.6</v>
      </c>
    </row>
    <row r="29" ht="22.5" customHeight="1">
      <c r="B29" s="27" t="s">
        <v>29</v>
      </c>
      <c r="C29" s="35"/>
      <c r="D29" s="36"/>
      <c r="H29" s="48"/>
      <c r="I29" s="2">
        <v>16.3</v>
      </c>
    </row>
    <row r="30" ht="22.5" customHeight="1">
      <c r="A30" s="46" t="s">
        <v>10</v>
      </c>
      <c r="B30" s="33"/>
      <c r="C30" s="33">
        <f t="shared" ref="C30:D30" si="4">sum(C24:C29)</f>
        <v>0</v>
      </c>
      <c r="D30" s="33">
        <f t="shared" si="4"/>
        <v>30</v>
      </c>
      <c r="G30" s="2" t="s">
        <v>30</v>
      </c>
      <c r="I30" s="2">
        <v>17.7</v>
      </c>
    </row>
    <row r="31" ht="22.5" customHeight="1">
      <c r="A31" s="37" t="s">
        <v>10</v>
      </c>
      <c r="I31" s="50">
        <f>SUM(I7:I30)</f>
        <v>501.8</v>
      </c>
    </row>
    <row r="32" ht="22.5" customHeight="1">
      <c r="A32" s="37" t="s">
        <v>31</v>
      </c>
      <c r="B32" s="38"/>
      <c r="C32" s="38"/>
      <c r="D32" s="34">
        <f>C9+C18+C23+C30</f>
        <v>283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22.5" customHeight="1">
      <c r="A33" s="37" t="s">
        <v>32</v>
      </c>
      <c r="B33" s="29"/>
      <c r="C33" s="29"/>
      <c r="D33" s="28">
        <f>D9+D18+D23+D30</f>
        <v>1063</v>
      </c>
    </row>
    <row r="34" ht="22.5" customHeight="1">
      <c r="A34" s="37" t="s">
        <v>33</v>
      </c>
      <c r="B34" s="29"/>
      <c r="C34" s="29"/>
      <c r="D34" s="30">
        <f>(D33-D32)/2</f>
        <v>390</v>
      </c>
    </row>
    <row r="35">
      <c r="A35" s="14"/>
    </row>
    <row r="36">
      <c r="A36" s="2" t="s">
        <v>34</v>
      </c>
    </row>
    <row r="37">
      <c r="A37" s="2"/>
      <c r="B37" s="2"/>
      <c r="E37" s="39"/>
      <c r="F37" s="39"/>
      <c r="H37" s="39"/>
      <c r="I37" s="39"/>
    </row>
    <row r="38" ht="22.5" customHeight="1">
      <c r="A38" s="25" t="s">
        <v>35</v>
      </c>
      <c r="B38" s="25" t="s">
        <v>36</v>
      </c>
      <c r="E38" s="25" t="s">
        <v>37</v>
      </c>
      <c r="F38" s="25" t="s">
        <v>36</v>
      </c>
      <c r="H38" s="15" t="s">
        <v>38</v>
      </c>
      <c r="I38" s="16">
        <f>B45-F45</f>
        <v>-27</v>
      </c>
    </row>
    <row r="39" ht="22.5" customHeight="1">
      <c r="A39" s="40" t="s">
        <v>39</v>
      </c>
      <c r="B39" s="41">
        <f>D34</f>
        <v>390</v>
      </c>
      <c r="E39" s="40" t="s">
        <v>40</v>
      </c>
      <c r="F39" s="42"/>
    </row>
    <row r="40" ht="22.5" customHeight="1">
      <c r="A40" s="40" t="s">
        <v>41</v>
      </c>
      <c r="B40" s="40">
        <v>-656.0</v>
      </c>
      <c r="E40" s="43" t="s">
        <v>78</v>
      </c>
      <c r="F40" s="40">
        <f>30+9</f>
        <v>39</v>
      </c>
      <c r="H40" s="3"/>
    </row>
    <row r="41" ht="22.5" customHeight="1">
      <c r="A41" s="40" t="s">
        <v>43</v>
      </c>
      <c r="B41" s="40">
        <v>115.0</v>
      </c>
      <c r="D41" s="2"/>
      <c r="E41" s="40"/>
      <c r="F41" s="42"/>
      <c r="G41" s="2"/>
      <c r="H41" s="2"/>
    </row>
    <row r="42" ht="22.5" customHeight="1">
      <c r="A42" s="40" t="s">
        <v>77</v>
      </c>
      <c r="B42" s="40">
        <v>12.0</v>
      </c>
      <c r="E42" s="40"/>
      <c r="F42" s="42"/>
      <c r="H42" s="2"/>
    </row>
    <row r="43" ht="22.5" customHeight="1">
      <c r="A43" s="40" t="s">
        <v>98</v>
      </c>
      <c r="B43" s="40">
        <v>136.0</v>
      </c>
      <c r="E43" s="40"/>
      <c r="F43" s="40"/>
      <c r="H43" s="2"/>
    </row>
    <row r="44" ht="22.5" customHeight="1">
      <c r="A44" s="40" t="s">
        <v>99</v>
      </c>
      <c r="B44" s="44">
        <v>15.0</v>
      </c>
      <c r="E44" s="40"/>
      <c r="F44" s="40"/>
      <c r="H44" s="2"/>
    </row>
    <row r="45" ht="22.5" customHeight="1">
      <c r="A45" s="40" t="s">
        <v>10</v>
      </c>
      <c r="B45" s="45">
        <f>sum(B39:B44)</f>
        <v>12</v>
      </c>
      <c r="E45" s="40" t="s">
        <v>10</v>
      </c>
      <c r="F45" s="41">
        <f>sum(F39:F44)</f>
        <v>39</v>
      </c>
      <c r="H45" s="2"/>
    </row>
    <row r="48">
      <c r="A48" s="2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</sheetData>
  <drawing r:id="rId2"/>
  <legacyDrawing r:id="rId3"/>
  <tableParts count="3">
    <tablePart r:id="rId7"/>
    <tablePart r:id="rId8"/>
    <tablePart r:id="rId9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3.38"/>
    <col customWidth="1" min="5" max="5" width="15.5"/>
    <col customWidth="1" min="8" max="8" width="25.25"/>
    <col customWidth="1" min="10" max="10" width="19.75"/>
  </cols>
  <sheetData>
    <row r="1" ht="22.5" customHeight="1">
      <c r="A1" s="24" t="s">
        <v>80</v>
      </c>
      <c r="B1" s="24" t="s">
        <v>81</v>
      </c>
      <c r="C1" s="25" t="s">
        <v>0</v>
      </c>
      <c r="D1" s="25" t="s">
        <v>1</v>
      </c>
      <c r="F1" s="2"/>
    </row>
    <row r="2" ht="22.5" customHeight="1">
      <c r="A2" s="26" t="s">
        <v>2</v>
      </c>
      <c r="B2" s="27" t="s">
        <v>3</v>
      </c>
      <c r="D2" s="28">
        <v>4.0</v>
      </c>
      <c r="F2" s="2"/>
      <c r="G2" s="2"/>
      <c r="H2" s="2"/>
      <c r="I2" s="2"/>
      <c r="J2" s="2"/>
    </row>
    <row r="3" ht="22.5" customHeight="1">
      <c r="A3" s="29"/>
      <c r="B3" s="28" t="s">
        <v>4</v>
      </c>
      <c r="C3" s="29"/>
      <c r="D3" s="28"/>
      <c r="E3" s="13"/>
      <c r="F3" s="3"/>
      <c r="G3" s="13"/>
      <c r="H3" s="3"/>
      <c r="I3" s="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4.75" customHeight="1">
      <c r="B4" s="27" t="s">
        <v>5</v>
      </c>
      <c r="D4" s="27">
        <v>15.0</v>
      </c>
      <c r="F4" s="2"/>
      <c r="G4" s="2"/>
      <c r="H4" s="2"/>
      <c r="I4" s="2"/>
      <c r="J4" s="2"/>
    </row>
    <row r="5" ht="22.5" customHeight="1">
      <c r="B5" s="27" t="s">
        <v>6</v>
      </c>
      <c r="D5" s="30">
        <f>38+63+60</f>
        <v>161</v>
      </c>
      <c r="F5" s="2"/>
      <c r="G5" s="2"/>
      <c r="H5" s="3"/>
      <c r="I5" s="2"/>
      <c r="J5" s="2"/>
    </row>
    <row r="6" ht="22.5" customHeight="1">
      <c r="B6" s="27"/>
      <c r="C6" s="27"/>
      <c r="D6" s="30"/>
      <c r="F6" s="2"/>
      <c r="H6" s="3"/>
    </row>
    <row r="7" ht="22.5" customHeight="1">
      <c r="A7" s="26" t="s">
        <v>7</v>
      </c>
      <c r="B7" s="27" t="s">
        <v>8</v>
      </c>
      <c r="D7" s="30"/>
      <c r="F7" s="2"/>
      <c r="H7" s="48"/>
      <c r="I7" s="2">
        <v>4.5</v>
      </c>
      <c r="J7" s="47"/>
      <c r="K7" s="31"/>
    </row>
    <row r="8" ht="22.5" customHeight="1">
      <c r="B8" s="27"/>
      <c r="C8" s="27"/>
      <c r="D8" s="30"/>
      <c r="F8" s="2"/>
      <c r="H8" s="48"/>
      <c r="I8" s="2">
        <v>13.6</v>
      </c>
      <c r="J8" s="47"/>
      <c r="K8" s="31"/>
    </row>
    <row r="9" ht="22.5" customHeight="1">
      <c r="B9" s="32"/>
      <c r="C9" s="33">
        <f t="shared" ref="C9:D9" si="1">SUM(C2:C8)</f>
        <v>0</v>
      </c>
      <c r="D9" s="33">
        <f t="shared" si="1"/>
        <v>180</v>
      </c>
      <c r="E9" s="2"/>
      <c r="F9" s="2"/>
      <c r="H9" s="48"/>
      <c r="I9" s="2">
        <v>38.4</v>
      </c>
      <c r="J9" s="47"/>
      <c r="K9" s="31"/>
    </row>
    <row r="10" ht="22.5" customHeight="1">
      <c r="B10" s="27" t="s">
        <v>11</v>
      </c>
      <c r="D10" s="27">
        <v>31.0</v>
      </c>
      <c r="F10" s="2"/>
      <c r="H10" s="48"/>
      <c r="I10" s="2">
        <v>10.3</v>
      </c>
      <c r="J10" s="47"/>
      <c r="K10" s="31"/>
    </row>
    <row r="11" ht="22.5" customHeight="1">
      <c r="B11" s="27" t="s">
        <v>12</v>
      </c>
      <c r="D11" s="27"/>
      <c r="E11" s="7"/>
      <c r="F11" s="2"/>
      <c r="H11" s="48"/>
      <c r="I11" s="2">
        <v>33.0</v>
      </c>
      <c r="J11" s="47"/>
      <c r="K11" s="31"/>
    </row>
    <row r="12" ht="22.5" customHeight="1">
      <c r="B12" s="27" t="s">
        <v>13</v>
      </c>
      <c r="D12" s="27">
        <v>115.0</v>
      </c>
      <c r="F12" s="2"/>
      <c r="H12" s="48"/>
      <c r="I12" s="2">
        <v>12.5</v>
      </c>
      <c r="J12" s="47"/>
      <c r="K12" s="31"/>
    </row>
    <row r="13" ht="22.5" customHeight="1">
      <c r="B13" s="27" t="s">
        <v>14</v>
      </c>
      <c r="D13" s="27"/>
      <c r="H13" s="48"/>
      <c r="I13" s="2">
        <v>2.6</v>
      </c>
      <c r="J13" s="47"/>
      <c r="K13" s="31"/>
    </row>
    <row r="14" ht="22.5" customHeight="1">
      <c r="B14" s="27" t="s">
        <v>15</v>
      </c>
      <c r="C14" s="27">
        <f>33</f>
        <v>33</v>
      </c>
      <c r="D14" s="27"/>
      <c r="H14" s="48"/>
      <c r="I14" s="2">
        <v>31.7</v>
      </c>
      <c r="J14" s="47"/>
      <c r="K14" s="31"/>
    </row>
    <row r="15" ht="22.5" customHeight="1">
      <c r="B15" s="27" t="s">
        <v>16</v>
      </c>
      <c r="C15" s="27"/>
      <c r="H15" s="48"/>
      <c r="I15" s="2">
        <v>16.3</v>
      </c>
      <c r="K15" s="31"/>
    </row>
    <row r="16" ht="22.5" customHeight="1">
      <c r="B16" s="27" t="s">
        <v>17</v>
      </c>
      <c r="D16" s="27"/>
      <c r="G16" s="2"/>
      <c r="H16" s="48"/>
      <c r="I16" s="23">
        <v>43.1</v>
      </c>
      <c r="K16" s="31"/>
    </row>
    <row r="17" ht="22.5" customHeight="1">
      <c r="B17" s="27" t="s">
        <v>74</v>
      </c>
      <c r="C17" s="27"/>
      <c r="D17" s="27"/>
      <c r="G17" s="2"/>
      <c r="H17" s="48"/>
      <c r="I17" s="2">
        <v>44.5</v>
      </c>
      <c r="K17" s="31"/>
    </row>
    <row r="18" ht="22.5" customHeight="1">
      <c r="A18" s="33" t="s">
        <v>10</v>
      </c>
      <c r="B18" s="32"/>
      <c r="C18" s="33">
        <f t="shared" ref="C18:D18" si="2">SUM(C10:C17)</f>
        <v>33</v>
      </c>
      <c r="D18" s="33">
        <f t="shared" si="2"/>
        <v>146</v>
      </c>
      <c r="G18" s="2"/>
      <c r="H18" s="48"/>
      <c r="I18" s="2">
        <v>23.8</v>
      </c>
      <c r="K18" s="31"/>
    </row>
    <row r="19" ht="22.5" customHeight="1">
      <c r="A19" s="26" t="s">
        <v>19</v>
      </c>
      <c r="B19" s="27" t="s">
        <v>20</v>
      </c>
      <c r="C19" s="27"/>
      <c r="G19" s="2"/>
      <c r="H19" s="48"/>
      <c r="I19" s="2">
        <v>35.0</v>
      </c>
      <c r="K19" s="31"/>
    </row>
    <row r="20" ht="22.5" customHeight="1">
      <c r="B20" s="27" t="s">
        <v>21</v>
      </c>
      <c r="C20" s="34">
        <f>15+50+180+118+35</f>
        <v>398</v>
      </c>
      <c r="D20" s="27">
        <f>45+144</f>
        <v>189</v>
      </c>
      <c r="E20" s="2"/>
      <c r="G20" s="2"/>
      <c r="H20" s="48"/>
      <c r="I20" s="2">
        <v>15.8</v>
      </c>
      <c r="K20" s="31"/>
    </row>
    <row r="21" ht="22.5" customHeight="1">
      <c r="B21" s="27"/>
      <c r="C21" s="27"/>
      <c r="D21" s="27"/>
      <c r="E21" s="2"/>
      <c r="G21" s="2"/>
      <c r="H21" s="48"/>
      <c r="I21" s="2">
        <v>13.6</v>
      </c>
      <c r="K21" s="31"/>
    </row>
    <row r="22" ht="22.5" customHeight="1">
      <c r="B22" s="27" t="s">
        <v>22</v>
      </c>
      <c r="C22" s="34"/>
      <c r="D22" s="27"/>
      <c r="G22" s="2"/>
      <c r="H22" s="48"/>
      <c r="I22" s="2">
        <v>33.3</v>
      </c>
      <c r="K22" s="31"/>
    </row>
    <row r="23" ht="22.5" customHeight="1">
      <c r="A23" s="33" t="s">
        <v>10</v>
      </c>
      <c r="B23" s="33"/>
      <c r="C23" s="33">
        <f t="shared" ref="C23:D23" si="3">SUM(C19:C22)</f>
        <v>398</v>
      </c>
      <c r="D23" s="33">
        <f t="shared" si="3"/>
        <v>189</v>
      </c>
      <c r="H23" s="48"/>
      <c r="I23" s="2">
        <v>10.3</v>
      </c>
      <c r="K23" s="31"/>
    </row>
    <row r="24" ht="22.5" customHeight="1">
      <c r="A24" s="26" t="s">
        <v>23</v>
      </c>
      <c r="B24" s="27" t="s">
        <v>24</v>
      </c>
      <c r="H24" s="48"/>
      <c r="I24" s="2">
        <v>17.0</v>
      </c>
      <c r="K24" s="31"/>
    </row>
    <row r="25" ht="22.5" customHeight="1">
      <c r="B25" s="27" t="s">
        <v>25</v>
      </c>
      <c r="D25" s="27">
        <v>92.0</v>
      </c>
      <c r="H25" s="48"/>
      <c r="I25" s="2">
        <v>10.4</v>
      </c>
      <c r="K25" s="31"/>
    </row>
    <row r="26" ht="22.5" customHeight="1">
      <c r="B26" s="27" t="s">
        <v>26</v>
      </c>
      <c r="D26" s="27"/>
      <c r="H26" s="48"/>
      <c r="I26" s="2">
        <v>21.0</v>
      </c>
    </row>
    <row r="27" ht="22.5" customHeight="1">
      <c r="B27" s="27" t="s">
        <v>27</v>
      </c>
      <c r="D27" s="27"/>
      <c r="H27" s="48"/>
      <c r="I27" s="2">
        <v>34.5</v>
      </c>
    </row>
    <row r="28" ht="22.5" customHeight="1">
      <c r="B28" s="27" t="s">
        <v>28</v>
      </c>
      <c r="D28" s="27"/>
      <c r="H28" s="48"/>
      <c r="I28" s="2">
        <v>2.6</v>
      </c>
    </row>
    <row r="29" ht="22.5" customHeight="1">
      <c r="B29" s="27" t="s">
        <v>29</v>
      </c>
      <c r="C29" s="35"/>
      <c r="D29" s="36"/>
      <c r="H29" s="48"/>
      <c r="I29" s="2">
        <v>16.3</v>
      </c>
    </row>
    <row r="30" ht="22.5" customHeight="1">
      <c r="A30" s="46" t="s">
        <v>10</v>
      </c>
      <c r="B30" s="33"/>
      <c r="C30" s="33">
        <f t="shared" ref="C30:D30" si="4">sum(C24:C29)</f>
        <v>0</v>
      </c>
      <c r="D30" s="33">
        <f t="shared" si="4"/>
        <v>92</v>
      </c>
      <c r="G30" s="2" t="s">
        <v>30</v>
      </c>
      <c r="I30" s="2">
        <v>17.7</v>
      </c>
    </row>
    <row r="31" ht="22.5" customHeight="1">
      <c r="A31" s="37" t="s">
        <v>10</v>
      </c>
      <c r="I31" s="50">
        <f>SUM(I7:I30)</f>
        <v>501.8</v>
      </c>
    </row>
    <row r="32" ht="22.5" customHeight="1">
      <c r="A32" s="37" t="s">
        <v>31</v>
      </c>
      <c r="B32" s="38"/>
      <c r="C32" s="38"/>
      <c r="D32" s="34">
        <f>C9+C18+C23+C30</f>
        <v>431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22.5" customHeight="1">
      <c r="A33" s="37" t="s">
        <v>32</v>
      </c>
      <c r="B33" s="29"/>
      <c r="C33" s="29"/>
      <c r="D33" s="28">
        <f>D9+D18+D23+D30</f>
        <v>607</v>
      </c>
    </row>
    <row r="34" ht="22.5" customHeight="1">
      <c r="A34" s="37" t="s">
        <v>33</v>
      </c>
      <c r="B34" s="29"/>
      <c r="C34" s="29"/>
      <c r="D34" s="30">
        <f>(D33-D32)/2</f>
        <v>88</v>
      </c>
    </row>
    <row r="35">
      <c r="A35" s="14"/>
    </row>
    <row r="36">
      <c r="A36" s="2" t="s">
        <v>34</v>
      </c>
    </row>
    <row r="37">
      <c r="A37" s="2"/>
      <c r="B37" s="2"/>
      <c r="E37" s="39"/>
      <c r="F37" s="39"/>
      <c r="H37" s="39"/>
      <c r="I37" s="39"/>
    </row>
    <row r="38" ht="22.5" customHeight="1">
      <c r="A38" s="25" t="s">
        <v>35</v>
      </c>
      <c r="B38" s="25" t="s">
        <v>36</v>
      </c>
      <c r="E38" s="25" t="s">
        <v>37</v>
      </c>
      <c r="F38" s="25" t="s">
        <v>36</v>
      </c>
      <c r="H38" s="15" t="s">
        <v>38</v>
      </c>
      <c r="I38" s="16">
        <f>B45-F45</f>
        <v>-290</v>
      </c>
    </row>
    <row r="39" ht="22.5" customHeight="1">
      <c r="A39" s="40" t="s">
        <v>39</v>
      </c>
      <c r="B39" s="41">
        <f>D34</f>
        <v>88</v>
      </c>
      <c r="E39" s="40" t="s">
        <v>40</v>
      </c>
      <c r="F39" s="42">
        <v>600.0</v>
      </c>
    </row>
    <row r="40" ht="22.5" customHeight="1">
      <c r="A40" s="40" t="s">
        <v>41</v>
      </c>
      <c r="B40" s="40">
        <v>-27.0</v>
      </c>
      <c r="E40" s="43"/>
      <c r="F40" s="40"/>
      <c r="H40" s="3"/>
    </row>
    <row r="41" ht="22.5" customHeight="1">
      <c r="A41" s="40" t="s">
        <v>43</v>
      </c>
      <c r="B41" s="40">
        <v>115.0</v>
      </c>
      <c r="D41" s="2"/>
      <c r="E41" s="40"/>
      <c r="F41" s="42"/>
      <c r="G41" s="2"/>
      <c r="H41" s="2"/>
    </row>
    <row r="42" ht="22.5" customHeight="1">
      <c r="A42" s="40"/>
      <c r="B42" s="40">
        <v>40.0</v>
      </c>
      <c r="E42" s="40"/>
      <c r="F42" s="42"/>
      <c r="H42" s="2"/>
    </row>
    <row r="43" ht="22.5" customHeight="1">
      <c r="A43" s="40" t="s">
        <v>100</v>
      </c>
      <c r="B43" s="40">
        <v>85.0</v>
      </c>
      <c r="E43" s="40"/>
      <c r="F43" s="40"/>
      <c r="H43" s="2"/>
    </row>
    <row r="44" ht="22.5" customHeight="1">
      <c r="A44" s="40"/>
      <c r="B44" s="44">
        <v>9.0</v>
      </c>
      <c r="E44" s="40"/>
      <c r="F44" s="40"/>
      <c r="H44" s="2"/>
    </row>
    <row r="45" ht="22.5" customHeight="1">
      <c r="A45" s="40" t="s">
        <v>10</v>
      </c>
      <c r="B45" s="45">
        <f>sum(B39:B44)</f>
        <v>310</v>
      </c>
      <c r="E45" s="40" t="s">
        <v>10</v>
      </c>
      <c r="F45" s="41">
        <f>sum(F39:F44)</f>
        <v>600</v>
      </c>
      <c r="H45" s="2"/>
    </row>
    <row r="48">
      <c r="A48" s="2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</sheetData>
  <drawing r:id="rId2"/>
  <legacyDrawing r:id="rId3"/>
  <tableParts count="3">
    <tablePart r:id="rId7"/>
    <tablePart r:id="rId8"/>
    <tablePart r:id="rId9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3.38"/>
    <col customWidth="1" min="5" max="5" width="15.5"/>
    <col customWidth="1" min="8" max="8" width="25.25"/>
    <col customWidth="1" min="10" max="10" width="19.75"/>
  </cols>
  <sheetData>
    <row r="1" ht="22.5" customHeight="1">
      <c r="A1" s="24" t="s">
        <v>80</v>
      </c>
      <c r="B1" s="24" t="s">
        <v>81</v>
      </c>
      <c r="C1" s="25" t="s">
        <v>0</v>
      </c>
      <c r="D1" s="25" t="s">
        <v>1</v>
      </c>
      <c r="F1" s="2"/>
    </row>
    <row r="2" ht="22.5" customHeight="1">
      <c r="A2" s="26" t="s">
        <v>2</v>
      </c>
      <c r="B2" s="27" t="s">
        <v>3</v>
      </c>
      <c r="D2" s="28"/>
      <c r="F2" s="2"/>
      <c r="G2" s="2"/>
      <c r="H2" s="2"/>
      <c r="I2" s="2"/>
      <c r="J2" s="2"/>
    </row>
    <row r="3" ht="22.5" customHeight="1">
      <c r="A3" s="29"/>
      <c r="B3" s="28" t="s">
        <v>4</v>
      </c>
      <c r="C3" s="28"/>
      <c r="D3" s="28"/>
      <c r="E3" s="13"/>
      <c r="F3" s="3"/>
      <c r="G3" s="13"/>
      <c r="H3" s="3"/>
      <c r="I3" s="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4.75" customHeight="1">
      <c r="B4" s="27" t="s">
        <v>5</v>
      </c>
      <c r="D4" s="27"/>
      <c r="F4" s="2"/>
      <c r="G4" s="2"/>
      <c r="H4" s="2"/>
      <c r="I4" s="2"/>
      <c r="J4" s="2"/>
    </row>
    <row r="5" ht="22.5" customHeight="1">
      <c r="B5" s="27" t="s">
        <v>6</v>
      </c>
      <c r="D5" s="30"/>
      <c r="F5" s="2"/>
      <c r="G5" s="2"/>
      <c r="H5" s="3"/>
      <c r="I5" s="2"/>
      <c r="J5" s="2"/>
    </row>
    <row r="6" ht="22.5" customHeight="1">
      <c r="B6" s="27"/>
      <c r="C6" s="27"/>
      <c r="D6" s="30"/>
      <c r="F6" s="2"/>
      <c r="H6" s="3"/>
    </row>
    <row r="7" ht="22.5" customHeight="1">
      <c r="A7" s="26" t="s">
        <v>7</v>
      </c>
      <c r="B7" s="27" t="s">
        <v>8</v>
      </c>
      <c r="D7" s="30"/>
      <c r="F7" s="2"/>
      <c r="H7" s="48"/>
      <c r="I7" s="2">
        <v>4.5</v>
      </c>
      <c r="J7" s="47"/>
      <c r="K7" s="31"/>
    </row>
    <row r="8" ht="22.5" customHeight="1">
      <c r="B8" s="27"/>
      <c r="C8" s="27"/>
      <c r="D8" s="30"/>
      <c r="F8" s="2"/>
      <c r="H8" s="48"/>
      <c r="I8" s="2">
        <v>13.6</v>
      </c>
      <c r="J8" s="47"/>
      <c r="K8" s="31"/>
    </row>
    <row r="9" ht="22.5" customHeight="1">
      <c r="B9" s="32"/>
      <c r="C9" s="33">
        <f t="shared" ref="C9:D9" si="1">SUM(C2:C8)</f>
        <v>0</v>
      </c>
      <c r="D9" s="33">
        <f t="shared" si="1"/>
        <v>0</v>
      </c>
      <c r="E9" s="2"/>
      <c r="F9" s="2"/>
      <c r="H9" s="48"/>
      <c r="I9" s="2">
        <v>38.4</v>
      </c>
      <c r="J9" s="47"/>
      <c r="K9" s="31"/>
    </row>
    <row r="10" ht="22.5" customHeight="1">
      <c r="B10" s="27" t="s">
        <v>11</v>
      </c>
      <c r="D10" s="27">
        <v>31.0</v>
      </c>
      <c r="F10" s="2"/>
      <c r="H10" s="48"/>
      <c r="I10" s="2">
        <v>10.3</v>
      </c>
      <c r="J10" s="47"/>
      <c r="K10" s="31"/>
    </row>
    <row r="11" ht="22.5" customHeight="1">
      <c r="B11" s="27" t="s">
        <v>12</v>
      </c>
      <c r="D11" s="27"/>
      <c r="E11" s="7"/>
      <c r="F11" s="2"/>
      <c r="H11" s="48"/>
      <c r="I11" s="2">
        <v>33.0</v>
      </c>
      <c r="J11" s="47"/>
      <c r="K11" s="31"/>
    </row>
    <row r="12" ht="22.5" customHeight="1">
      <c r="B12" s="27" t="s">
        <v>13</v>
      </c>
      <c r="D12" s="27">
        <v>115.0</v>
      </c>
      <c r="F12" s="2"/>
      <c r="H12" s="48"/>
      <c r="I12" s="2">
        <v>12.5</v>
      </c>
      <c r="J12" s="47"/>
      <c r="K12" s="31"/>
    </row>
    <row r="13" ht="22.5" customHeight="1">
      <c r="B13" s="27" t="s">
        <v>14</v>
      </c>
      <c r="D13" s="27"/>
      <c r="H13" s="48"/>
      <c r="I13" s="2">
        <v>2.6</v>
      </c>
      <c r="J13" s="47"/>
      <c r="K13" s="31"/>
    </row>
    <row r="14" ht="22.5" customHeight="1">
      <c r="B14" s="27" t="s">
        <v>15</v>
      </c>
      <c r="C14" s="27">
        <f>33</f>
        <v>33</v>
      </c>
      <c r="D14" s="27"/>
      <c r="H14" s="48"/>
      <c r="I14" s="2">
        <v>31.7</v>
      </c>
      <c r="J14" s="47"/>
      <c r="K14" s="31"/>
    </row>
    <row r="15" ht="22.5" customHeight="1">
      <c r="B15" s="27" t="s">
        <v>16</v>
      </c>
      <c r="C15" s="27"/>
      <c r="H15" s="48"/>
      <c r="I15" s="2">
        <v>16.3</v>
      </c>
      <c r="K15" s="31"/>
    </row>
    <row r="16" ht="22.5" customHeight="1">
      <c r="B16" s="27" t="s">
        <v>17</v>
      </c>
      <c r="D16" s="27"/>
      <c r="G16" s="2"/>
      <c r="H16" s="48"/>
      <c r="I16" s="23">
        <v>43.1</v>
      </c>
      <c r="K16" s="31"/>
    </row>
    <row r="17" ht="22.5" customHeight="1">
      <c r="B17" s="27" t="s">
        <v>74</v>
      </c>
      <c r="C17" s="27"/>
      <c r="D17" s="27"/>
      <c r="G17" s="2"/>
      <c r="H17" s="48"/>
      <c r="I17" s="2">
        <v>44.5</v>
      </c>
      <c r="K17" s="31"/>
    </row>
    <row r="18" ht="22.5" customHeight="1">
      <c r="A18" s="33" t="s">
        <v>10</v>
      </c>
      <c r="B18" s="32"/>
      <c r="C18" s="33">
        <f t="shared" ref="C18:D18" si="2">SUM(C10:C17)</f>
        <v>33</v>
      </c>
      <c r="D18" s="33">
        <f t="shared" si="2"/>
        <v>146</v>
      </c>
      <c r="G18" s="2"/>
      <c r="H18" s="48"/>
      <c r="I18" s="2">
        <v>23.8</v>
      </c>
      <c r="K18" s="31"/>
    </row>
    <row r="19" ht="22.5" customHeight="1">
      <c r="A19" s="26" t="s">
        <v>19</v>
      </c>
      <c r="B19" s="27" t="s">
        <v>20</v>
      </c>
      <c r="C19" s="27"/>
      <c r="G19" s="2"/>
      <c r="H19" s="48"/>
      <c r="I19" s="2">
        <v>35.0</v>
      </c>
      <c r="K19" s="31"/>
    </row>
    <row r="20" ht="22.5" customHeight="1">
      <c r="B20" s="27" t="s">
        <v>21</v>
      </c>
      <c r="D20" s="27"/>
      <c r="E20" s="2"/>
      <c r="G20" s="2"/>
      <c r="H20" s="48"/>
      <c r="I20" s="2">
        <v>15.8</v>
      </c>
      <c r="K20" s="31"/>
    </row>
    <row r="21" ht="22.5" customHeight="1">
      <c r="B21" s="27"/>
      <c r="C21" s="27"/>
      <c r="D21" s="27"/>
      <c r="E21" s="2"/>
      <c r="G21" s="2"/>
      <c r="H21" s="48"/>
      <c r="I21" s="2">
        <v>13.6</v>
      </c>
      <c r="K21" s="31"/>
    </row>
    <row r="22" ht="22.5" customHeight="1">
      <c r="B22" s="27" t="s">
        <v>22</v>
      </c>
      <c r="C22" s="34"/>
      <c r="D22" s="27"/>
      <c r="G22" s="2"/>
      <c r="H22" s="48"/>
      <c r="I22" s="2">
        <v>33.3</v>
      </c>
      <c r="K22" s="31"/>
    </row>
    <row r="23" ht="22.5" customHeight="1">
      <c r="A23" s="33" t="s">
        <v>10</v>
      </c>
      <c r="B23" s="33"/>
      <c r="C23" s="33">
        <f t="shared" ref="C23:D23" si="3">SUM(C19:C22)</f>
        <v>0</v>
      </c>
      <c r="D23" s="33">
        <f t="shared" si="3"/>
        <v>0</v>
      </c>
      <c r="H23" s="48"/>
      <c r="I23" s="2">
        <v>10.3</v>
      </c>
      <c r="K23" s="31"/>
    </row>
    <row r="24" ht="22.5" customHeight="1">
      <c r="A24" s="26" t="s">
        <v>23</v>
      </c>
      <c r="B24" s="27" t="s">
        <v>24</v>
      </c>
      <c r="H24" s="48"/>
      <c r="I24" s="2">
        <v>17.0</v>
      </c>
      <c r="K24" s="31"/>
    </row>
    <row r="25" ht="22.5" customHeight="1">
      <c r="B25" s="27" t="s">
        <v>25</v>
      </c>
      <c r="D25" s="27"/>
      <c r="H25" s="48"/>
      <c r="I25" s="2">
        <v>10.4</v>
      </c>
      <c r="K25" s="31"/>
    </row>
    <row r="26" ht="22.5" customHeight="1">
      <c r="B26" s="27" t="s">
        <v>26</v>
      </c>
      <c r="D26" s="27"/>
      <c r="H26" s="48"/>
      <c r="I26" s="2">
        <v>21.0</v>
      </c>
    </row>
    <row r="27" ht="22.5" customHeight="1">
      <c r="B27" s="27" t="s">
        <v>27</v>
      </c>
      <c r="D27" s="27"/>
      <c r="H27" s="48"/>
      <c r="I27" s="2">
        <v>34.5</v>
      </c>
    </row>
    <row r="28" ht="22.5" customHeight="1">
      <c r="B28" s="27" t="s">
        <v>28</v>
      </c>
      <c r="D28" s="27"/>
      <c r="H28" s="48"/>
      <c r="I28" s="2">
        <v>2.6</v>
      </c>
    </row>
    <row r="29" ht="22.5" customHeight="1">
      <c r="B29" s="27" t="s">
        <v>29</v>
      </c>
      <c r="C29" s="35"/>
      <c r="D29" s="36"/>
      <c r="H29" s="48"/>
      <c r="I29" s="2">
        <v>16.3</v>
      </c>
    </row>
    <row r="30" ht="22.5" customHeight="1">
      <c r="A30" s="46" t="s">
        <v>10</v>
      </c>
      <c r="B30" s="33"/>
      <c r="C30" s="33">
        <f t="shared" ref="C30:D30" si="4">sum(C24:C29)</f>
        <v>0</v>
      </c>
      <c r="D30" s="33">
        <f t="shared" si="4"/>
        <v>0</v>
      </c>
      <c r="G30" s="2" t="s">
        <v>30</v>
      </c>
      <c r="I30" s="2">
        <v>17.7</v>
      </c>
    </row>
    <row r="31" ht="22.5" customHeight="1">
      <c r="A31" s="37" t="s">
        <v>10</v>
      </c>
      <c r="I31" s="50">
        <f>SUM(I7:I30)</f>
        <v>501.8</v>
      </c>
    </row>
    <row r="32" ht="22.5" customHeight="1">
      <c r="A32" s="37" t="s">
        <v>31</v>
      </c>
      <c r="B32" s="38"/>
      <c r="C32" s="38"/>
      <c r="D32" s="34">
        <f>C9+C18+C23+C30</f>
        <v>33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22.5" customHeight="1">
      <c r="A33" s="37" t="s">
        <v>32</v>
      </c>
      <c r="B33" s="29"/>
      <c r="C33" s="29"/>
      <c r="D33" s="28">
        <f>D9+D18+D23+D30</f>
        <v>146</v>
      </c>
    </row>
    <row r="34" ht="22.5" customHeight="1">
      <c r="A34" s="37" t="s">
        <v>33</v>
      </c>
      <c r="B34" s="29"/>
      <c r="C34" s="29"/>
      <c r="D34" s="30">
        <f>(D33-D32)/2</f>
        <v>56.5</v>
      </c>
    </row>
    <row r="35">
      <c r="A35" s="14"/>
    </row>
    <row r="36">
      <c r="A36" s="2" t="s">
        <v>34</v>
      </c>
    </row>
    <row r="37">
      <c r="A37" s="2"/>
      <c r="B37" s="2"/>
      <c r="E37" s="39"/>
      <c r="F37" s="39"/>
      <c r="H37" s="39"/>
      <c r="I37" s="39"/>
    </row>
    <row r="38" ht="22.5" customHeight="1">
      <c r="A38" s="25" t="s">
        <v>35</v>
      </c>
      <c r="B38" s="25" t="s">
        <v>36</v>
      </c>
      <c r="E38" s="25" t="s">
        <v>37</v>
      </c>
      <c r="F38" s="25" t="s">
        <v>36</v>
      </c>
      <c r="H38" s="15" t="s">
        <v>38</v>
      </c>
      <c r="I38" s="16">
        <f>B45-F45</f>
        <v>-518.5</v>
      </c>
    </row>
    <row r="39" ht="22.5" customHeight="1">
      <c r="A39" s="40" t="s">
        <v>39</v>
      </c>
      <c r="B39" s="41">
        <f>D34</f>
        <v>56.5</v>
      </c>
      <c r="E39" s="40" t="s">
        <v>40</v>
      </c>
      <c r="F39" s="42">
        <v>400.0</v>
      </c>
    </row>
    <row r="40" ht="22.5" customHeight="1">
      <c r="A40" s="40" t="s">
        <v>41</v>
      </c>
      <c r="B40" s="40">
        <v>-290.0</v>
      </c>
      <c r="E40" s="43"/>
      <c r="F40" s="40"/>
      <c r="H40" s="3"/>
    </row>
    <row r="41" ht="22.5" customHeight="1">
      <c r="A41" s="40" t="s">
        <v>43</v>
      </c>
      <c r="B41" s="40">
        <v>115.0</v>
      </c>
      <c r="D41" s="2"/>
      <c r="E41" s="40"/>
      <c r="F41" s="42"/>
      <c r="G41" s="2"/>
      <c r="H41" s="2"/>
    </row>
    <row r="42" ht="22.5" customHeight="1">
      <c r="A42" s="40"/>
      <c r="B42" s="40"/>
      <c r="E42" s="40"/>
      <c r="F42" s="42"/>
      <c r="H42" s="2"/>
    </row>
    <row r="43" ht="22.5" customHeight="1">
      <c r="A43" s="40"/>
      <c r="B43" s="40"/>
      <c r="E43" s="40"/>
      <c r="F43" s="40"/>
      <c r="H43" s="2"/>
    </row>
    <row r="44" ht="22.5" customHeight="1">
      <c r="A44" s="40"/>
      <c r="B44" s="44"/>
      <c r="E44" s="40"/>
      <c r="F44" s="40"/>
      <c r="H44" s="2"/>
    </row>
    <row r="45" ht="22.5" customHeight="1">
      <c r="A45" s="40" t="s">
        <v>10</v>
      </c>
      <c r="B45" s="45">
        <f>sum(B39:B44)</f>
        <v>-118.5</v>
      </c>
      <c r="E45" s="40" t="s">
        <v>10</v>
      </c>
      <c r="F45" s="41">
        <f>sum(F39:F44)</f>
        <v>400</v>
      </c>
      <c r="H45" s="2"/>
    </row>
    <row r="48">
      <c r="A48" s="2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</sheetData>
  <drawing r:id="rId2"/>
  <legacyDrawing r:id="rId3"/>
  <tableParts count="3">
    <tablePart r:id="rId7"/>
    <tablePart r:id="rId8"/>
    <tablePart r:id="rId9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5" t="s">
        <v>101</v>
      </c>
      <c r="B2" s="5" t="s">
        <v>80</v>
      </c>
      <c r="C2" s="5" t="s">
        <v>102</v>
      </c>
      <c r="D2" s="5" t="s">
        <v>103</v>
      </c>
      <c r="F2" s="51" t="s">
        <v>32</v>
      </c>
      <c r="G2" s="20">
        <f>sum(D3:D148)</f>
        <v>1299</v>
      </c>
    </row>
    <row r="3">
      <c r="A3" s="52">
        <v>42917.0</v>
      </c>
      <c r="B3" s="2" t="s">
        <v>104</v>
      </c>
      <c r="C3" s="2" t="s">
        <v>105</v>
      </c>
      <c r="D3" s="2">
        <v>260.0</v>
      </c>
    </row>
    <row r="4">
      <c r="A4" s="52">
        <v>42979.0</v>
      </c>
      <c r="B4" s="2" t="s">
        <v>106</v>
      </c>
      <c r="D4">
        <f>534-120</f>
        <v>414</v>
      </c>
    </row>
    <row r="5">
      <c r="A5" s="53">
        <v>43009.0</v>
      </c>
      <c r="B5" s="2" t="s">
        <v>107</v>
      </c>
      <c r="C5" s="2" t="s">
        <v>108</v>
      </c>
      <c r="D5" s="2">
        <v>319.0</v>
      </c>
    </row>
    <row r="6">
      <c r="A6" s="53">
        <v>43009.0</v>
      </c>
      <c r="B6" s="2" t="s">
        <v>107</v>
      </c>
      <c r="C6" s="2" t="s">
        <v>109</v>
      </c>
      <c r="D6" s="2">
        <v>40.0</v>
      </c>
    </row>
    <row r="7">
      <c r="A7" s="53">
        <v>43009.0</v>
      </c>
      <c r="B7" s="2" t="s">
        <v>110</v>
      </c>
      <c r="C7" s="2" t="s">
        <v>111</v>
      </c>
      <c r="D7" s="2">
        <v>120.0</v>
      </c>
    </row>
    <row r="8">
      <c r="A8" s="53">
        <v>43009.0</v>
      </c>
      <c r="B8" s="2" t="s">
        <v>112</v>
      </c>
      <c r="C8" s="2"/>
      <c r="D8" s="2">
        <v>86.0</v>
      </c>
    </row>
    <row r="9">
      <c r="A9" s="53">
        <v>43040.0</v>
      </c>
      <c r="C9" s="2" t="s">
        <v>113</v>
      </c>
      <c r="D9" s="2">
        <v>60.0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63"/>
  </cols>
  <sheetData>
    <row r="1">
      <c r="A1" s="54"/>
      <c r="B1" s="55" t="s">
        <v>106</v>
      </c>
      <c r="C1" s="55" t="s">
        <v>63</v>
      </c>
      <c r="D1" s="48" t="s">
        <v>62</v>
      </c>
      <c r="G1" s="2" t="s">
        <v>31</v>
      </c>
      <c r="H1" s="56">
        <f>SUM(C5:C69)</f>
        <v>7776</v>
      </c>
    </row>
    <row r="2">
      <c r="A2" s="54">
        <v>45109.0</v>
      </c>
      <c r="B2" s="57">
        <v>1718.0</v>
      </c>
      <c r="C2" s="57"/>
      <c r="G2" s="2" t="s">
        <v>32</v>
      </c>
      <c r="H2" s="56">
        <f>SUM(D6:D70)</f>
        <v>25956.41</v>
      </c>
    </row>
    <row r="3">
      <c r="A3" s="54">
        <v>45112.0</v>
      </c>
      <c r="B3" s="57">
        <v>0.0</v>
      </c>
      <c r="C3" s="57"/>
      <c r="G3" s="2" t="s">
        <v>114</v>
      </c>
      <c r="H3" s="58">
        <f>COUNTBLANK(D5:D304)</f>
        <v>235</v>
      </c>
    </row>
    <row r="4">
      <c r="A4" s="54">
        <v>45143.0</v>
      </c>
      <c r="B4" s="57">
        <v>152.0</v>
      </c>
      <c r="C4" s="57"/>
      <c r="G4" s="2" t="s">
        <v>115</v>
      </c>
      <c r="H4" s="56">
        <f>sum(B2:B304)</f>
        <v>154494.34</v>
      </c>
    </row>
    <row r="5">
      <c r="A5" s="54">
        <v>42983.0</v>
      </c>
      <c r="B5" s="57">
        <v>533.93</v>
      </c>
      <c r="C5" s="57">
        <v>120.0</v>
      </c>
      <c r="D5" s="56">
        <f t="shared" ref="D5:D69" si="1">B5-C5</f>
        <v>413.93</v>
      </c>
      <c r="G5" s="2" t="s">
        <v>116</v>
      </c>
      <c r="H5" s="56">
        <f>H4-(H1+H2)</f>
        <v>120761.93</v>
      </c>
    </row>
    <row r="6">
      <c r="A6" s="54">
        <v>43013.0</v>
      </c>
      <c r="B6" s="57">
        <v>533.93</v>
      </c>
      <c r="C6" s="57">
        <v>123.0</v>
      </c>
      <c r="D6" s="56">
        <f t="shared" si="1"/>
        <v>410.93</v>
      </c>
    </row>
    <row r="7">
      <c r="A7" s="54">
        <v>43044.0</v>
      </c>
      <c r="B7" s="57">
        <v>533.93</v>
      </c>
      <c r="C7" s="57">
        <v>123.0</v>
      </c>
      <c r="D7" s="56">
        <f t="shared" si="1"/>
        <v>410.93</v>
      </c>
    </row>
    <row r="8">
      <c r="A8" s="54">
        <v>43074.0</v>
      </c>
      <c r="B8" s="57">
        <v>533.93</v>
      </c>
      <c r="C8" s="57">
        <v>123.0</v>
      </c>
      <c r="D8" s="56">
        <f t="shared" si="1"/>
        <v>410.93</v>
      </c>
    </row>
    <row r="9">
      <c r="A9" s="54">
        <v>43105.0</v>
      </c>
      <c r="B9" s="57">
        <v>533.93</v>
      </c>
      <c r="C9" s="57">
        <v>123.0</v>
      </c>
      <c r="D9" s="56">
        <f t="shared" si="1"/>
        <v>410.93</v>
      </c>
    </row>
    <row r="10">
      <c r="A10" s="54">
        <v>43136.0</v>
      </c>
      <c r="B10" s="57">
        <v>533.93</v>
      </c>
      <c r="C10" s="57">
        <v>123.0</v>
      </c>
      <c r="D10" s="56">
        <f t="shared" si="1"/>
        <v>410.93</v>
      </c>
    </row>
    <row r="11">
      <c r="A11" s="54">
        <v>43164.0</v>
      </c>
      <c r="B11" s="57">
        <v>533.93</v>
      </c>
      <c r="C11" s="57">
        <v>123.0</v>
      </c>
      <c r="D11" s="56">
        <f t="shared" si="1"/>
        <v>410.93</v>
      </c>
    </row>
    <row r="12">
      <c r="A12" s="54">
        <v>43195.0</v>
      </c>
      <c r="B12" s="57">
        <v>533.93</v>
      </c>
      <c r="C12" s="57">
        <v>123.0</v>
      </c>
      <c r="D12" s="56">
        <f t="shared" si="1"/>
        <v>410.93</v>
      </c>
    </row>
    <row r="13">
      <c r="A13" s="54">
        <v>43225.0</v>
      </c>
      <c r="B13" s="57">
        <v>533.93</v>
      </c>
      <c r="C13" s="57">
        <v>123.0</v>
      </c>
      <c r="D13" s="56">
        <f t="shared" si="1"/>
        <v>410.93</v>
      </c>
    </row>
    <row r="14">
      <c r="A14" s="54">
        <v>43256.0</v>
      </c>
      <c r="B14" s="57">
        <v>533.93</v>
      </c>
      <c r="C14" s="57">
        <v>123.0</v>
      </c>
      <c r="D14" s="56">
        <f t="shared" si="1"/>
        <v>410.93</v>
      </c>
    </row>
    <row r="15">
      <c r="A15" s="54">
        <v>43286.0</v>
      </c>
      <c r="B15" s="57">
        <v>533.93</v>
      </c>
      <c r="C15" s="57">
        <v>123.0</v>
      </c>
      <c r="D15" s="56">
        <f t="shared" si="1"/>
        <v>410.93</v>
      </c>
    </row>
    <row r="16">
      <c r="A16" s="54">
        <v>43317.0</v>
      </c>
      <c r="B16" s="57">
        <v>533.93</v>
      </c>
      <c r="C16" s="57">
        <v>123.0</v>
      </c>
      <c r="D16" s="56">
        <f t="shared" si="1"/>
        <v>410.93</v>
      </c>
    </row>
    <row r="17">
      <c r="A17" s="54">
        <v>43348.0</v>
      </c>
      <c r="B17" s="57">
        <v>533.93</v>
      </c>
      <c r="C17" s="57">
        <v>123.0</v>
      </c>
      <c r="D17" s="56">
        <f t="shared" si="1"/>
        <v>410.93</v>
      </c>
    </row>
    <row r="18">
      <c r="A18" s="54">
        <v>43378.0</v>
      </c>
      <c r="B18" s="57">
        <v>533.93</v>
      </c>
      <c r="C18" s="57">
        <v>123.0</v>
      </c>
      <c r="D18" s="56">
        <f t="shared" si="1"/>
        <v>410.93</v>
      </c>
    </row>
    <row r="19">
      <c r="A19" s="54">
        <v>43409.0</v>
      </c>
      <c r="B19" s="57">
        <v>533.93</v>
      </c>
      <c r="C19" s="57">
        <v>123.0</v>
      </c>
      <c r="D19" s="56">
        <f t="shared" si="1"/>
        <v>410.93</v>
      </c>
    </row>
    <row r="20">
      <c r="A20" s="54">
        <v>43439.0</v>
      </c>
      <c r="B20" s="57">
        <v>533.93</v>
      </c>
      <c r="C20" s="57">
        <v>123.0</v>
      </c>
      <c r="D20" s="56">
        <f t="shared" si="1"/>
        <v>410.93</v>
      </c>
    </row>
    <row r="21">
      <c r="A21" s="54">
        <v>43470.0</v>
      </c>
      <c r="B21" s="57">
        <v>533.93</v>
      </c>
      <c r="C21" s="57">
        <v>123.0</v>
      </c>
      <c r="D21" s="56">
        <f t="shared" si="1"/>
        <v>410.93</v>
      </c>
    </row>
    <row r="22">
      <c r="A22" s="54">
        <v>43501.0</v>
      </c>
      <c r="B22" s="57">
        <v>533.93</v>
      </c>
      <c r="C22" s="57">
        <v>123.0</v>
      </c>
      <c r="D22" s="56">
        <f t="shared" si="1"/>
        <v>410.93</v>
      </c>
    </row>
    <row r="23">
      <c r="A23" s="54">
        <v>43529.0</v>
      </c>
      <c r="B23" s="57">
        <v>533.93</v>
      </c>
      <c r="C23" s="57">
        <v>123.0</v>
      </c>
      <c r="D23" s="56">
        <f t="shared" si="1"/>
        <v>410.93</v>
      </c>
    </row>
    <row r="24">
      <c r="A24" s="54">
        <v>43560.0</v>
      </c>
      <c r="B24" s="57">
        <v>533.93</v>
      </c>
      <c r="C24" s="57">
        <v>123.0</v>
      </c>
      <c r="D24" s="56">
        <f t="shared" si="1"/>
        <v>410.93</v>
      </c>
    </row>
    <row r="25">
      <c r="A25" s="54">
        <v>43590.0</v>
      </c>
      <c r="B25" s="57">
        <v>533.93</v>
      </c>
      <c r="C25" s="57">
        <v>123.0</v>
      </c>
      <c r="D25" s="56">
        <f t="shared" si="1"/>
        <v>410.93</v>
      </c>
    </row>
    <row r="26">
      <c r="A26" s="54">
        <v>43621.0</v>
      </c>
      <c r="B26" s="57">
        <v>533.93</v>
      </c>
      <c r="C26" s="57">
        <v>123.0</v>
      </c>
      <c r="D26" s="56">
        <f t="shared" si="1"/>
        <v>410.93</v>
      </c>
    </row>
    <row r="27">
      <c r="A27" s="54">
        <v>43651.0</v>
      </c>
      <c r="B27" s="57">
        <v>533.93</v>
      </c>
      <c r="C27" s="57">
        <v>123.0</v>
      </c>
      <c r="D27" s="56">
        <f t="shared" si="1"/>
        <v>410.93</v>
      </c>
    </row>
    <row r="28">
      <c r="A28" s="54">
        <v>43682.0</v>
      </c>
      <c r="B28" s="57">
        <v>533.93</v>
      </c>
      <c r="C28" s="57">
        <v>123.0</v>
      </c>
      <c r="D28" s="56">
        <f t="shared" si="1"/>
        <v>410.93</v>
      </c>
    </row>
    <row r="29">
      <c r="A29" s="54">
        <v>43713.0</v>
      </c>
      <c r="B29" s="57">
        <v>533.93</v>
      </c>
      <c r="C29" s="57">
        <v>123.0</v>
      </c>
      <c r="D29" s="56">
        <f t="shared" si="1"/>
        <v>410.93</v>
      </c>
    </row>
    <row r="30">
      <c r="A30" s="54">
        <v>43743.0</v>
      </c>
      <c r="B30" s="57">
        <v>533.93</v>
      </c>
      <c r="C30" s="57">
        <v>123.0</v>
      </c>
      <c r="D30" s="56">
        <f t="shared" si="1"/>
        <v>410.93</v>
      </c>
    </row>
    <row r="31">
      <c r="A31" s="54">
        <v>43774.0</v>
      </c>
      <c r="B31" s="57">
        <v>533.93</v>
      </c>
      <c r="C31" s="57">
        <v>123.0</v>
      </c>
      <c r="D31" s="56">
        <f t="shared" si="1"/>
        <v>410.93</v>
      </c>
    </row>
    <row r="32">
      <c r="A32" s="54">
        <v>43804.0</v>
      </c>
      <c r="B32" s="57">
        <v>533.93</v>
      </c>
      <c r="C32" s="57">
        <v>123.0</v>
      </c>
      <c r="D32" s="56">
        <f t="shared" si="1"/>
        <v>410.93</v>
      </c>
    </row>
    <row r="33">
      <c r="A33" s="54">
        <v>43835.0</v>
      </c>
      <c r="B33" s="57">
        <v>533.93</v>
      </c>
      <c r="C33" s="57">
        <v>123.0</v>
      </c>
      <c r="D33" s="56">
        <f t="shared" si="1"/>
        <v>410.93</v>
      </c>
    </row>
    <row r="34">
      <c r="A34" s="54">
        <v>43866.0</v>
      </c>
      <c r="B34" s="57">
        <v>533.93</v>
      </c>
      <c r="C34" s="57">
        <v>123.0</v>
      </c>
      <c r="D34" s="56">
        <f t="shared" si="1"/>
        <v>410.93</v>
      </c>
    </row>
    <row r="35">
      <c r="A35" s="54">
        <v>43895.0</v>
      </c>
      <c r="B35" s="57">
        <v>533.93</v>
      </c>
      <c r="C35" s="57">
        <v>123.0</v>
      </c>
      <c r="D35" s="56">
        <f t="shared" si="1"/>
        <v>410.93</v>
      </c>
    </row>
    <row r="36">
      <c r="A36" s="54">
        <v>43926.0</v>
      </c>
      <c r="B36" s="57">
        <v>533.93</v>
      </c>
      <c r="C36" s="57">
        <v>123.0</v>
      </c>
      <c r="D36" s="56">
        <f t="shared" si="1"/>
        <v>410.93</v>
      </c>
    </row>
    <row r="37">
      <c r="A37" s="54">
        <v>43956.0</v>
      </c>
      <c r="B37" s="57">
        <v>533.93</v>
      </c>
      <c r="C37" s="57">
        <v>123.0</v>
      </c>
      <c r="D37" s="56">
        <f t="shared" si="1"/>
        <v>410.93</v>
      </c>
    </row>
    <row r="38">
      <c r="A38" s="54">
        <v>43987.0</v>
      </c>
      <c r="B38" s="57">
        <v>533.93</v>
      </c>
      <c r="C38" s="57">
        <v>123.0</v>
      </c>
      <c r="D38" s="56">
        <f t="shared" si="1"/>
        <v>410.93</v>
      </c>
    </row>
    <row r="39">
      <c r="A39" s="54">
        <v>44017.0</v>
      </c>
      <c r="B39" s="57">
        <v>533.93</v>
      </c>
      <c r="C39" s="57">
        <v>123.0</v>
      </c>
      <c r="D39" s="56">
        <f t="shared" si="1"/>
        <v>410.93</v>
      </c>
    </row>
    <row r="40">
      <c r="A40" s="54">
        <v>44048.0</v>
      </c>
      <c r="B40" s="57">
        <v>533.93</v>
      </c>
      <c r="C40" s="57">
        <v>123.0</v>
      </c>
      <c r="D40" s="56">
        <f t="shared" si="1"/>
        <v>410.93</v>
      </c>
    </row>
    <row r="41">
      <c r="A41" s="54">
        <v>44079.0</v>
      </c>
      <c r="B41" s="57">
        <v>533.93</v>
      </c>
      <c r="C41" s="57">
        <v>123.0</v>
      </c>
      <c r="D41" s="56">
        <f t="shared" si="1"/>
        <v>410.93</v>
      </c>
    </row>
    <row r="42">
      <c r="A42" s="54">
        <v>44109.0</v>
      </c>
      <c r="B42" s="57">
        <v>533.93</v>
      </c>
      <c r="C42" s="57">
        <v>123.0</v>
      </c>
      <c r="D42" s="56">
        <f t="shared" si="1"/>
        <v>410.93</v>
      </c>
    </row>
    <row r="43">
      <c r="A43" s="54">
        <v>44140.0</v>
      </c>
      <c r="B43" s="57">
        <v>511.0</v>
      </c>
      <c r="C43" s="57">
        <v>115.0</v>
      </c>
      <c r="D43" s="56">
        <f t="shared" si="1"/>
        <v>396</v>
      </c>
    </row>
    <row r="44">
      <c r="A44" s="54">
        <v>44170.0</v>
      </c>
      <c r="B44" s="57">
        <v>511.0</v>
      </c>
      <c r="C44" s="57">
        <v>115.0</v>
      </c>
      <c r="D44" s="56">
        <f t="shared" si="1"/>
        <v>396</v>
      </c>
    </row>
    <row r="45">
      <c r="A45" s="54">
        <v>44201.0</v>
      </c>
      <c r="B45" s="57">
        <v>511.0</v>
      </c>
      <c r="C45" s="57">
        <v>115.0</v>
      </c>
      <c r="D45" s="56">
        <f t="shared" si="1"/>
        <v>396</v>
      </c>
    </row>
    <row r="46">
      <c r="A46" s="54">
        <v>44232.0</v>
      </c>
      <c r="B46" s="57">
        <v>515.0</v>
      </c>
      <c r="C46" s="57">
        <v>115.0</v>
      </c>
      <c r="D46" s="56">
        <f t="shared" si="1"/>
        <v>400</v>
      </c>
    </row>
    <row r="47">
      <c r="A47" s="54">
        <v>44260.0</v>
      </c>
      <c r="B47" s="57">
        <v>514.0</v>
      </c>
      <c r="C47" s="57">
        <v>115.0</v>
      </c>
      <c r="D47" s="56">
        <f t="shared" si="1"/>
        <v>399</v>
      </c>
    </row>
    <row r="48">
      <c r="A48" s="54">
        <v>44291.0</v>
      </c>
      <c r="B48" s="57">
        <v>514.0</v>
      </c>
      <c r="C48" s="57">
        <v>115.0</v>
      </c>
      <c r="D48" s="56">
        <f t="shared" si="1"/>
        <v>399</v>
      </c>
    </row>
    <row r="49">
      <c r="A49" s="54">
        <v>44321.0</v>
      </c>
      <c r="B49" s="57">
        <v>514.0</v>
      </c>
      <c r="C49" s="57">
        <v>115.0</v>
      </c>
      <c r="D49" s="56">
        <f t="shared" si="1"/>
        <v>399</v>
      </c>
    </row>
    <row r="50">
      <c r="A50" s="54">
        <v>44352.0</v>
      </c>
      <c r="B50" s="57">
        <v>514.0</v>
      </c>
      <c r="C50" s="57">
        <v>115.0</v>
      </c>
      <c r="D50" s="56">
        <f t="shared" si="1"/>
        <v>399</v>
      </c>
    </row>
    <row r="51">
      <c r="A51" s="54">
        <v>44382.0</v>
      </c>
      <c r="B51" s="57">
        <v>514.0</v>
      </c>
      <c r="C51" s="57">
        <v>115.0</v>
      </c>
      <c r="D51" s="56">
        <f t="shared" si="1"/>
        <v>399</v>
      </c>
    </row>
    <row r="52">
      <c r="A52" s="54">
        <v>44413.0</v>
      </c>
      <c r="B52" s="57">
        <v>514.0</v>
      </c>
      <c r="C52" s="57">
        <v>115.0</v>
      </c>
      <c r="D52" s="56">
        <f t="shared" si="1"/>
        <v>399</v>
      </c>
    </row>
    <row r="53">
      <c r="A53" s="54">
        <v>44444.0</v>
      </c>
      <c r="B53" s="57">
        <v>514.0</v>
      </c>
      <c r="C53" s="57">
        <v>115.0</v>
      </c>
      <c r="D53" s="56">
        <f t="shared" si="1"/>
        <v>399</v>
      </c>
    </row>
    <row r="54">
      <c r="A54" s="54">
        <v>44474.0</v>
      </c>
      <c r="B54" s="57">
        <v>514.0</v>
      </c>
      <c r="C54" s="57">
        <v>115.0</v>
      </c>
      <c r="D54" s="56">
        <f t="shared" si="1"/>
        <v>399</v>
      </c>
    </row>
    <row r="55">
      <c r="A55" s="54">
        <v>44505.0</v>
      </c>
      <c r="B55" s="57">
        <v>514.0</v>
      </c>
      <c r="C55" s="57">
        <v>115.0</v>
      </c>
      <c r="D55" s="56">
        <f t="shared" si="1"/>
        <v>399</v>
      </c>
    </row>
    <row r="56">
      <c r="A56" s="54">
        <v>44535.0</v>
      </c>
      <c r="B56" s="57">
        <v>514.0</v>
      </c>
      <c r="C56" s="57">
        <v>115.0</v>
      </c>
      <c r="D56" s="56">
        <f t="shared" si="1"/>
        <v>399</v>
      </c>
    </row>
    <row r="57">
      <c r="A57" s="54">
        <v>44566.0</v>
      </c>
      <c r="B57" s="57">
        <v>513.0</v>
      </c>
      <c r="C57" s="57">
        <v>115.0</v>
      </c>
      <c r="D57" s="56">
        <f t="shared" si="1"/>
        <v>398</v>
      </c>
    </row>
    <row r="58">
      <c r="A58" s="54">
        <v>44597.0</v>
      </c>
      <c r="B58" s="57">
        <v>513.0</v>
      </c>
      <c r="C58" s="57">
        <v>115.0</v>
      </c>
      <c r="D58" s="56">
        <f t="shared" si="1"/>
        <v>398</v>
      </c>
    </row>
    <row r="59">
      <c r="A59" s="54">
        <v>44625.0</v>
      </c>
      <c r="B59" s="57">
        <v>513.0</v>
      </c>
      <c r="C59" s="57">
        <v>115.0</v>
      </c>
      <c r="D59" s="56">
        <f t="shared" si="1"/>
        <v>398</v>
      </c>
    </row>
    <row r="60">
      <c r="A60" s="54">
        <v>44656.0</v>
      </c>
      <c r="B60" s="57">
        <v>513.0</v>
      </c>
      <c r="C60" s="57">
        <v>115.0</v>
      </c>
      <c r="D60" s="56">
        <f t="shared" si="1"/>
        <v>398</v>
      </c>
    </row>
    <row r="61">
      <c r="A61" s="54">
        <v>44686.0</v>
      </c>
      <c r="B61" s="57">
        <v>513.0</v>
      </c>
      <c r="C61" s="57">
        <v>115.0</v>
      </c>
      <c r="D61" s="56">
        <f t="shared" si="1"/>
        <v>398</v>
      </c>
    </row>
    <row r="62">
      <c r="A62" s="54">
        <v>44717.0</v>
      </c>
      <c r="B62" s="57">
        <v>513.0</v>
      </c>
      <c r="C62" s="57">
        <v>115.0</v>
      </c>
      <c r="D62" s="56">
        <f t="shared" si="1"/>
        <v>398</v>
      </c>
    </row>
    <row r="63">
      <c r="A63" s="54">
        <v>44747.0</v>
      </c>
      <c r="B63" s="57">
        <v>513.0</v>
      </c>
      <c r="C63" s="57">
        <v>115.0</v>
      </c>
      <c r="D63" s="56">
        <f t="shared" si="1"/>
        <v>398</v>
      </c>
    </row>
    <row r="64">
      <c r="A64" s="54">
        <v>44778.0</v>
      </c>
      <c r="B64" s="57">
        <v>513.0</v>
      </c>
      <c r="C64" s="57">
        <v>115.0</v>
      </c>
      <c r="D64" s="56">
        <f t="shared" si="1"/>
        <v>398</v>
      </c>
    </row>
    <row r="65">
      <c r="A65" s="54">
        <v>44809.0</v>
      </c>
      <c r="B65" s="57">
        <v>513.0</v>
      </c>
      <c r="C65" s="57">
        <v>115.0</v>
      </c>
      <c r="D65" s="56">
        <f t="shared" si="1"/>
        <v>398</v>
      </c>
    </row>
    <row r="66">
      <c r="A66" s="54">
        <v>44839.0</v>
      </c>
      <c r="B66" s="57">
        <v>513.0</v>
      </c>
      <c r="C66" s="57">
        <v>115.0</v>
      </c>
      <c r="D66" s="56">
        <f t="shared" si="1"/>
        <v>398</v>
      </c>
    </row>
    <row r="67">
      <c r="A67" s="54">
        <v>44870.0</v>
      </c>
      <c r="B67" s="57">
        <v>513.0</v>
      </c>
      <c r="C67" s="57">
        <v>115.0</v>
      </c>
      <c r="D67" s="56">
        <f t="shared" si="1"/>
        <v>398</v>
      </c>
    </row>
    <row r="68">
      <c r="A68" s="54">
        <v>44900.0</v>
      </c>
      <c r="B68" s="57">
        <v>513.0</v>
      </c>
      <c r="C68" s="57">
        <v>115.0</v>
      </c>
      <c r="D68" s="56">
        <f t="shared" si="1"/>
        <v>398</v>
      </c>
    </row>
    <row r="69">
      <c r="A69" s="54">
        <v>44931.0</v>
      </c>
      <c r="B69" s="57">
        <v>513.0</v>
      </c>
      <c r="C69" s="57">
        <v>115.0</v>
      </c>
      <c r="D69" s="56">
        <f t="shared" si="1"/>
        <v>398</v>
      </c>
    </row>
    <row r="70">
      <c r="A70" s="54">
        <v>44962.0</v>
      </c>
      <c r="B70" s="57">
        <v>513.0</v>
      </c>
    </row>
    <row r="71">
      <c r="A71" s="54">
        <v>44990.0</v>
      </c>
      <c r="B71" s="57">
        <v>513.0</v>
      </c>
    </row>
    <row r="72">
      <c r="A72" s="54">
        <v>45021.0</v>
      </c>
      <c r="B72" s="57">
        <v>513.0</v>
      </c>
    </row>
    <row r="73">
      <c r="A73" s="54">
        <v>45051.0</v>
      </c>
      <c r="B73" s="57">
        <v>512.0</v>
      </c>
    </row>
    <row r="74">
      <c r="A74" s="54">
        <v>45082.0</v>
      </c>
      <c r="B74" s="57">
        <v>512.0</v>
      </c>
    </row>
    <row r="75">
      <c r="A75" s="54">
        <v>45112.0</v>
      </c>
      <c r="B75" s="57">
        <v>512.0</v>
      </c>
    </row>
    <row r="76">
      <c r="A76" s="54">
        <v>45143.0</v>
      </c>
      <c r="B76" s="57">
        <v>512.0</v>
      </c>
    </row>
    <row r="77">
      <c r="A77" s="54">
        <v>45174.0</v>
      </c>
      <c r="B77" s="57">
        <v>512.0</v>
      </c>
    </row>
    <row r="78">
      <c r="A78" s="54">
        <v>45204.0</v>
      </c>
      <c r="B78" s="57">
        <v>512.0</v>
      </c>
    </row>
    <row r="79">
      <c r="A79" s="54">
        <v>45235.0</v>
      </c>
      <c r="B79" s="57">
        <v>512.0</v>
      </c>
    </row>
    <row r="80">
      <c r="A80" s="54">
        <v>45265.0</v>
      </c>
      <c r="B80" s="57">
        <v>512.0</v>
      </c>
    </row>
    <row r="81">
      <c r="A81" s="54">
        <v>45296.0</v>
      </c>
      <c r="B81" s="57">
        <v>512.0</v>
      </c>
    </row>
    <row r="82">
      <c r="A82" s="54">
        <v>45327.0</v>
      </c>
      <c r="B82" s="57">
        <v>512.0</v>
      </c>
    </row>
    <row r="83">
      <c r="A83" s="54">
        <v>45356.0</v>
      </c>
      <c r="B83" s="57">
        <v>512.0</v>
      </c>
    </row>
    <row r="84">
      <c r="A84" s="54">
        <v>45387.0</v>
      </c>
      <c r="B84" s="57">
        <v>512.0</v>
      </c>
    </row>
    <row r="85">
      <c r="A85" s="54">
        <v>45417.0</v>
      </c>
      <c r="B85" s="57">
        <v>512.0</v>
      </c>
    </row>
    <row r="86">
      <c r="A86" s="54">
        <v>45448.0</v>
      </c>
      <c r="B86" s="57">
        <v>512.0</v>
      </c>
    </row>
    <row r="87">
      <c r="A87" s="54">
        <v>45478.0</v>
      </c>
      <c r="B87" s="57">
        <v>512.0</v>
      </c>
    </row>
    <row r="88">
      <c r="A88" s="54">
        <v>45509.0</v>
      </c>
      <c r="B88" s="57">
        <v>511.0</v>
      </c>
    </row>
    <row r="89">
      <c r="A89" s="54">
        <v>45540.0</v>
      </c>
      <c r="B89" s="57">
        <v>511.0</v>
      </c>
    </row>
    <row r="90">
      <c r="A90" s="54">
        <v>45570.0</v>
      </c>
      <c r="B90" s="57">
        <v>511.0</v>
      </c>
    </row>
    <row r="91">
      <c r="A91" s="54">
        <v>45601.0</v>
      </c>
      <c r="B91" s="57">
        <v>511.0</v>
      </c>
    </row>
    <row r="92">
      <c r="A92" s="54">
        <v>45631.0</v>
      </c>
      <c r="B92" s="57">
        <v>511.0</v>
      </c>
    </row>
    <row r="93">
      <c r="A93" s="54">
        <v>45662.0</v>
      </c>
      <c r="B93" s="57">
        <v>511.0</v>
      </c>
    </row>
    <row r="94">
      <c r="A94" s="54">
        <v>45693.0</v>
      </c>
      <c r="B94" s="57">
        <v>511.0</v>
      </c>
    </row>
    <row r="95">
      <c r="A95" s="54">
        <v>45721.0</v>
      </c>
      <c r="B95" s="57">
        <v>511.0</v>
      </c>
    </row>
    <row r="96">
      <c r="A96" s="54">
        <v>45752.0</v>
      </c>
      <c r="B96" s="57">
        <v>511.0</v>
      </c>
    </row>
    <row r="97">
      <c r="A97" s="54">
        <v>45782.0</v>
      </c>
      <c r="B97" s="57">
        <v>511.0</v>
      </c>
    </row>
    <row r="98">
      <c r="A98" s="54">
        <v>45813.0</v>
      </c>
      <c r="B98" s="57">
        <v>511.0</v>
      </c>
    </row>
    <row r="99">
      <c r="A99" s="54">
        <v>45843.0</v>
      </c>
      <c r="B99" s="57">
        <v>511.0</v>
      </c>
    </row>
    <row r="100">
      <c r="A100" s="54">
        <v>45874.0</v>
      </c>
      <c r="B100" s="57">
        <v>511.0</v>
      </c>
    </row>
    <row r="101">
      <c r="A101" s="54">
        <v>45905.0</v>
      </c>
      <c r="B101" s="57">
        <v>511.0</v>
      </c>
    </row>
    <row r="102">
      <c r="A102" s="54">
        <v>45935.0</v>
      </c>
      <c r="B102" s="57">
        <v>511.0</v>
      </c>
    </row>
    <row r="103">
      <c r="A103" s="54">
        <v>45966.0</v>
      </c>
      <c r="B103" s="57">
        <v>510.0</v>
      </c>
    </row>
    <row r="104">
      <c r="A104" s="54">
        <v>45996.0</v>
      </c>
      <c r="B104" s="57">
        <v>510.0</v>
      </c>
    </row>
    <row r="105">
      <c r="A105" s="54">
        <v>46027.0</v>
      </c>
      <c r="B105" s="57">
        <v>510.0</v>
      </c>
    </row>
    <row r="106">
      <c r="A106" s="54">
        <v>46058.0</v>
      </c>
      <c r="B106" s="57">
        <v>510.0</v>
      </c>
    </row>
    <row r="107">
      <c r="A107" s="54">
        <v>46086.0</v>
      </c>
      <c r="B107" s="57">
        <v>510.0</v>
      </c>
    </row>
    <row r="108">
      <c r="A108" s="54">
        <v>46117.0</v>
      </c>
      <c r="B108" s="57">
        <v>510.0</v>
      </c>
    </row>
    <row r="109">
      <c r="A109" s="54">
        <v>46147.0</v>
      </c>
      <c r="B109" s="57">
        <v>510.0</v>
      </c>
    </row>
    <row r="110">
      <c r="A110" s="54">
        <v>46178.0</v>
      </c>
      <c r="B110" s="57">
        <v>510.0</v>
      </c>
    </row>
    <row r="111">
      <c r="A111" s="54">
        <v>46208.0</v>
      </c>
      <c r="B111" s="57">
        <v>510.0</v>
      </c>
    </row>
    <row r="112">
      <c r="A112" s="54">
        <v>46239.0</v>
      </c>
      <c r="B112" s="57">
        <v>510.0</v>
      </c>
    </row>
    <row r="113">
      <c r="A113" s="54">
        <v>46270.0</v>
      </c>
      <c r="B113" s="57">
        <v>510.0</v>
      </c>
    </row>
    <row r="114">
      <c r="A114" s="54">
        <v>46300.0</v>
      </c>
      <c r="B114" s="57">
        <v>510.0</v>
      </c>
    </row>
    <row r="115">
      <c r="A115" s="54">
        <v>46331.0</v>
      </c>
      <c r="B115" s="57">
        <v>510.0</v>
      </c>
    </row>
    <row r="116">
      <c r="A116" s="54">
        <v>46361.0</v>
      </c>
      <c r="B116" s="57">
        <v>510.0</v>
      </c>
    </row>
    <row r="117">
      <c r="A117" s="54">
        <v>46392.0</v>
      </c>
      <c r="B117" s="57">
        <v>510.0</v>
      </c>
    </row>
    <row r="118">
      <c r="A118" s="54">
        <v>46423.0</v>
      </c>
      <c r="B118" s="57">
        <v>509.0</v>
      </c>
    </row>
    <row r="119">
      <c r="A119" s="54">
        <v>46451.0</v>
      </c>
      <c r="B119" s="57">
        <v>509.0</v>
      </c>
    </row>
    <row r="120">
      <c r="A120" s="54">
        <v>46482.0</v>
      </c>
      <c r="B120" s="57">
        <v>509.0</v>
      </c>
    </row>
    <row r="121">
      <c r="A121" s="54">
        <v>46512.0</v>
      </c>
      <c r="B121" s="57">
        <v>509.0</v>
      </c>
    </row>
    <row r="122">
      <c r="A122" s="54">
        <v>46543.0</v>
      </c>
      <c r="B122" s="57">
        <v>509.0</v>
      </c>
    </row>
    <row r="123">
      <c r="A123" s="54">
        <v>46573.0</v>
      </c>
      <c r="B123" s="57">
        <v>509.0</v>
      </c>
    </row>
    <row r="124">
      <c r="A124" s="54">
        <v>46604.0</v>
      </c>
      <c r="B124" s="57">
        <v>509.0</v>
      </c>
    </row>
    <row r="125">
      <c r="A125" s="54">
        <v>46635.0</v>
      </c>
      <c r="B125" s="57">
        <v>509.0</v>
      </c>
    </row>
    <row r="126">
      <c r="A126" s="54">
        <v>46665.0</v>
      </c>
      <c r="B126" s="57">
        <v>509.0</v>
      </c>
    </row>
    <row r="127">
      <c r="A127" s="54">
        <v>46696.0</v>
      </c>
      <c r="B127" s="57">
        <v>509.0</v>
      </c>
    </row>
    <row r="128">
      <c r="A128" s="54">
        <v>46726.0</v>
      </c>
      <c r="B128" s="57">
        <v>509.0</v>
      </c>
    </row>
    <row r="129">
      <c r="A129" s="54">
        <v>46757.0</v>
      </c>
      <c r="B129" s="57">
        <v>509.0</v>
      </c>
    </row>
    <row r="130">
      <c r="A130" s="54">
        <v>46788.0</v>
      </c>
      <c r="B130" s="57">
        <v>509.0</v>
      </c>
    </row>
    <row r="131">
      <c r="A131" s="54">
        <v>46817.0</v>
      </c>
      <c r="B131" s="57">
        <v>509.0</v>
      </c>
    </row>
    <row r="132">
      <c r="A132" s="54">
        <v>46848.0</v>
      </c>
      <c r="B132" s="57">
        <v>508.0</v>
      </c>
    </row>
    <row r="133">
      <c r="A133" s="54">
        <v>46878.0</v>
      </c>
      <c r="B133" s="57">
        <v>508.0</v>
      </c>
    </row>
    <row r="134">
      <c r="A134" s="54">
        <v>46909.0</v>
      </c>
      <c r="B134" s="57">
        <v>508.0</v>
      </c>
    </row>
    <row r="135">
      <c r="A135" s="54">
        <v>46939.0</v>
      </c>
      <c r="B135" s="57">
        <v>508.0</v>
      </c>
    </row>
    <row r="136">
      <c r="A136" s="54">
        <v>46970.0</v>
      </c>
      <c r="B136" s="57">
        <v>508.0</v>
      </c>
    </row>
    <row r="137">
      <c r="A137" s="54">
        <v>47001.0</v>
      </c>
      <c r="B137" s="57">
        <v>508.0</v>
      </c>
    </row>
    <row r="138">
      <c r="A138" s="54">
        <v>47031.0</v>
      </c>
      <c r="B138" s="57">
        <v>508.0</v>
      </c>
    </row>
    <row r="139">
      <c r="A139" s="54">
        <v>47062.0</v>
      </c>
      <c r="B139" s="57">
        <v>508.0</v>
      </c>
    </row>
    <row r="140">
      <c r="A140" s="54">
        <v>47092.0</v>
      </c>
      <c r="B140" s="57">
        <v>508.0</v>
      </c>
    </row>
    <row r="141">
      <c r="A141" s="54">
        <v>47123.0</v>
      </c>
      <c r="B141" s="57">
        <v>508.0</v>
      </c>
    </row>
    <row r="142">
      <c r="A142" s="54">
        <v>47154.0</v>
      </c>
      <c r="B142" s="57">
        <v>508.0</v>
      </c>
    </row>
    <row r="143">
      <c r="A143" s="54">
        <v>47182.0</v>
      </c>
      <c r="B143" s="57">
        <v>508.0</v>
      </c>
    </row>
    <row r="144">
      <c r="A144" s="54">
        <v>47213.0</v>
      </c>
      <c r="B144" s="57">
        <v>508.0</v>
      </c>
    </row>
    <row r="145">
      <c r="A145" s="54">
        <v>47243.0</v>
      </c>
      <c r="B145" s="57">
        <v>508.0</v>
      </c>
    </row>
    <row r="146">
      <c r="A146" s="54">
        <v>47274.0</v>
      </c>
      <c r="B146" s="57">
        <v>507.0</v>
      </c>
    </row>
    <row r="147">
      <c r="A147" s="54">
        <v>47304.0</v>
      </c>
      <c r="B147" s="57">
        <v>507.0</v>
      </c>
    </row>
    <row r="148">
      <c r="A148" s="54">
        <v>47335.0</v>
      </c>
      <c r="B148" s="57">
        <v>507.0</v>
      </c>
    </row>
    <row r="149">
      <c r="A149" s="54">
        <v>47366.0</v>
      </c>
      <c r="B149" s="57">
        <v>507.0</v>
      </c>
    </row>
    <row r="150">
      <c r="A150" s="54">
        <v>47396.0</v>
      </c>
      <c r="B150" s="57">
        <v>507.0</v>
      </c>
    </row>
    <row r="151">
      <c r="A151" s="54">
        <v>47427.0</v>
      </c>
      <c r="B151" s="57">
        <v>507.0</v>
      </c>
    </row>
    <row r="152">
      <c r="A152" s="54">
        <v>47457.0</v>
      </c>
      <c r="B152" s="57">
        <v>507.0</v>
      </c>
    </row>
    <row r="153">
      <c r="A153" s="54">
        <v>47488.0</v>
      </c>
      <c r="B153" s="57">
        <v>507.0</v>
      </c>
    </row>
    <row r="154">
      <c r="A154" s="54">
        <v>47519.0</v>
      </c>
      <c r="B154" s="57">
        <v>507.0</v>
      </c>
    </row>
    <row r="155">
      <c r="A155" s="54">
        <v>47547.0</v>
      </c>
      <c r="B155" s="57">
        <v>507.0</v>
      </c>
    </row>
    <row r="156">
      <c r="A156" s="54">
        <v>47578.0</v>
      </c>
      <c r="B156" s="57">
        <v>507.0</v>
      </c>
    </row>
    <row r="157">
      <c r="A157" s="54">
        <v>47608.0</v>
      </c>
      <c r="B157" s="57">
        <v>507.0</v>
      </c>
    </row>
    <row r="158">
      <c r="A158" s="54">
        <v>47639.0</v>
      </c>
      <c r="B158" s="57">
        <v>507.0</v>
      </c>
    </row>
    <row r="159">
      <c r="A159" s="54">
        <v>47669.0</v>
      </c>
      <c r="B159" s="57">
        <v>507.0</v>
      </c>
    </row>
    <row r="160">
      <c r="A160" s="54">
        <v>47700.0</v>
      </c>
      <c r="B160" s="57">
        <v>506.0</v>
      </c>
    </row>
    <row r="161">
      <c r="A161" s="54">
        <v>47731.0</v>
      </c>
      <c r="B161" s="57">
        <v>506.0</v>
      </c>
    </row>
    <row r="162">
      <c r="A162" s="54">
        <v>47761.0</v>
      </c>
      <c r="B162" s="57">
        <v>506.0</v>
      </c>
    </row>
    <row r="163">
      <c r="A163" s="54">
        <v>47792.0</v>
      </c>
      <c r="B163" s="57">
        <v>506.0</v>
      </c>
    </row>
    <row r="164">
      <c r="A164" s="54">
        <v>47822.0</v>
      </c>
      <c r="B164" s="57">
        <v>506.0</v>
      </c>
    </row>
    <row r="165">
      <c r="A165" s="54">
        <v>47853.0</v>
      </c>
      <c r="B165" s="57">
        <v>506.0</v>
      </c>
    </row>
    <row r="166">
      <c r="A166" s="54">
        <v>47884.0</v>
      </c>
      <c r="B166" s="57">
        <v>506.0</v>
      </c>
    </row>
    <row r="167">
      <c r="A167" s="54">
        <v>47912.0</v>
      </c>
      <c r="B167" s="57">
        <v>506.0</v>
      </c>
    </row>
    <row r="168">
      <c r="A168" s="54">
        <v>47943.0</v>
      </c>
      <c r="B168" s="57">
        <v>506.0</v>
      </c>
    </row>
    <row r="169">
      <c r="A169" s="54">
        <v>47973.0</v>
      </c>
      <c r="B169" s="57">
        <v>506.0</v>
      </c>
    </row>
    <row r="170">
      <c r="A170" s="54">
        <v>48004.0</v>
      </c>
      <c r="B170" s="57">
        <v>506.0</v>
      </c>
    </row>
    <row r="171">
      <c r="A171" s="54">
        <v>48034.0</v>
      </c>
      <c r="B171" s="57">
        <v>506.0</v>
      </c>
    </row>
    <row r="172">
      <c r="A172" s="54">
        <v>48065.0</v>
      </c>
      <c r="B172" s="57">
        <v>506.0</v>
      </c>
    </row>
    <row r="173">
      <c r="A173" s="54">
        <v>48096.0</v>
      </c>
      <c r="B173" s="57">
        <v>506.0</v>
      </c>
    </row>
    <row r="174">
      <c r="A174" s="54">
        <v>48126.0</v>
      </c>
      <c r="B174" s="57">
        <v>505.0</v>
      </c>
    </row>
    <row r="175">
      <c r="A175" s="54">
        <v>48157.0</v>
      </c>
      <c r="B175" s="57">
        <v>505.0</v>
      </c>
    </row>
    <row r="176">
      <c r="A176" s="54">
        <v>48187.0</v>
      </c>
      <c r="B176" s="57">
        <v>505.0</v>
      </c>
    </row>
    <row r="177">
      <c r="A177" s="54">
        <v>48218.0</v>
      </c>
      <c r="B177" s="57">
        <v>505.0</v>
      </c>
    </row>
    <row r="178">
      <c r="A178" s="54">
        <v>48249.0</v>
      </c>
      <c r="B178" s="57">
        <v>505.0</v>
      </c>
    </row>
    <row r="179">
      <c r="A179" s="54">
        <v>48278.0</v>
      </c>
      <c r="B179" s="57">
        <v>505.0</v>
      </c>
    </row>
    <row r="180">
      <c r="A180" s="54">
        <v>48309.0</v>
      </c>
      <c r="B180" s="57">
        <v>505.0</v>
      </c>
    </row>
    <row r="181">
      <c r="A181" s="54">
        <v>48339.0</v>
      </c>
      <c r="B181" s="57">
        <v>505.0</v>
      </c>
    </row>
    <row r="182">
      <c r="A182" s="54">
        <v>48370.0</v>
      </c>
      <c r="B182" s="57">
        <v>505.0</v>
      </c>
    </row>
    <row r="183">
      <c r="A183" s="54">
        <v>48400.0</v>
      </c>
      <c r="B183" s="57">
        <v>505.0</v>
      </c>
    </row>
    <row r="184">
      <c r="A184" s="54">
        <v>48431.0</v>
      </c>
      <c r="B184" s="57">
        <v>505.0</v>
      </c>
    </row>
    <row r="185">
      <c r="A185" s="54">
        <v>48462.0</v>
      </c>
      <c r="B185" s="57">
        <v>505.0</v>
      </c>
    </row>
    <row r="186">
      <c r="A186" s="54">
        <v>48492.0</v>
      </c>
      <c r="B186" s="57">
        <v>505.0</v>
      </c>
    </row>
    <row r="187">
      <c r="A187" s="54">
        <v>48523.0</v>
      </c>
      <c r="B187" s="57">
        <v>504.0</v>
      </c>
    </row>
    <row r="188">
      <c r="A188" s="54">
        <v>48553.0</v>
      </c>
      <c r="B188" s="57">
        <v>504.0</v>
      </c>
    </row>
    <row r="189">
      <c r="A189" s="54">
        <v>48584.0</v>
      </c>
      <c r="B189" s="57">
        <v>504.0</v>
      </c>
    </row>
    <row r="190">
      <c r="A190" s="54">
        <v>48615.0</v>
      </c>
      <c r="B190" s="57">
        <v>504.0</v>
      </c>
    </row>
    <row r="191">
      <c r="A191" s="54">
        <v>48643.0</v>
      </c>
      <c r="B191" s="57">
        <v>504.0</v>
      </c>
    </row>
    <row r="192">
      <c r="A192" s="54">
        <v>48674.0</v>
      </c>
      <c r="B192" s="57">
        <v>504.0</v>
      </c>
    </row>
    <row r="193">
      <c r="A193" s="54">
        <v>48704.0</v>
      </c>
      <c r="B193" s="57">
        <v>504.0</v>
      </c>
    </row>
    <row r="194">
      <c r="A194" s="54">
        <v>48735.0</v>
      </c>
      <c r="B194" s="57">
        <v>504.0</v>
      </c>
    </row>
    <row r="195">
      <c r="A195" s="54">
        <v>48765.0</v>
      </c>
      <c r="B195" s="57">
        <v>504.0</v>
      </c>
    </row>
    <row r="196">
      <c r="A196" s="54">
        <v>48796.0</v>
      </c>
      <c r="B196" s="57">
        <v>504.0</v>
      </c>
    </row>
    <row r="197">
      <c r="A197" s="54">
        <v>48827.0</v>
      </c>
      <c r="B197" s="57">
        <v>504.0</v>
      </c>
    </row>
    <row r="198">
      <c r="A198" s="54">
        <v>48857.0</v>
      </c>
      <c r="B198" s="57">
        <v>504.0</v>
      </c>
    </row>
    <row r="199">
      <c r="A199" s="54">
        <v>48888.0</v>
      </c>
      <c r="B199" s="57">
        <v>504.0</v>
      </c>
    </row>
    <row r="200">
      <c r="A200" s="54">
        <v>48918.0</v>
      </c>
      <c r="B200" s="57">
        <v>503.0</v>
      </c>
    </row>
    <row r="201">
      <c r="A201" s="54">
        <v>48949.0</v>
      </c>
      <c r="B201" s="57">
        <v>503.0</v>
      </c>
    </row>
    <row r="202">
      <c r="A202" s="54">
        <v>48980.0</v>
      </c>
      <c r="B202" s="57">
        <v>503.0</v>
      </c>
    </row>
    <row r="203">
      <c r="A203" s="54">
        <v>49008.0</v>
      </c>
      <c r="B203" s="57">
        <v>503.0</v>
      </c>
    </row>
    <row r="204">
      <c r="A204" s="54">
        <v>49039.0</v>
      </c>
      <c r="B204" s="57">
        <v>503.0</v>
      </c>
    </row>
    <row r="205">
      <c r="A205" s="54">
        <v>49069.0</v>
      </c>
      <c r="B205" s="57">
        <v>503.0</v>
      </c>
    </row>
    <row r="206">
      <c r="A206" s="54">
        <v>49100.0</v>
      </c>
      <c r="B206" s="57">
        <v>503.0</v>
      </c>
    </row>
    <row r="207">
      <c r="A207" s="54">
        <v>49130.0</v>
      </c>
      <c r="B207" s="57">
        <v>503.0</v>
      </c>
    </row>
    <row r="208">
      <c r="A208" s="54">
        <v>49161.0</v>
      </c>
      <c r="B208" s="57">
        <v>503.0</v>
      </c>
    </row>
    <row r="209">
      <c r="A209" s="54">
        <v>49192.0</v>
      </c>
      <c r="B209" s="57">
        <v>503.0</v>
      </c>
    </row>
    <row r="210">
      <c r="A210" s="54">
        <v>49222.0</v>
      </c>
      <c r="B210" s="57">
        <v>503.0</v>
      </c>
    </row>
    <row r="211">
      <c r="A211" s="54">
        <v>49253.0</v>
      </c>
      <c r="B211" s="57">
        <v>503.0</v>
      </c>
    </row>
    <row r="212">
      <c r="A212" s="54">
        <v>49283.0</v>
      </c>
      <c r="B212" s="57">
        <v>502.0</v>
      </c>
    </row>
    <row r="213">
      <c r="A213" s="54">
        <v>49314.0</v>
      </c>
      <c r="B213" s="57">
        <v>502.0</v>
      </c>
    </row>
    <row r="214">
      <c r="A214" s="54">
        <v>49345.0</v>
      </c>
      <c r="B214" s="57">
        <v>502.0</v>
      </c>
    </row>
    <row r="215">
      <c r="A215" s="54">
        <v>49373.0</v>
      </c>
      <c r="B215" s="57">
        <v>502.0</v>
      </c>
    </row>
    <row r="216">
      <c r="A216" s="54">
        <v>49404.0</v>
      </c>
      <c r="B216" s="57">
        <v>502.0</v>
      </c>
    </row>
    <row r="217">
      <c r="A217" s="54">
        <v>49434.0</v>
      </c>
      <c r="B217" s="57">
        <v>502.0</v>
      </c>
    </row>
    <row r="218">
      <c r="A218" s="54">
        <v>49465.0</v>
      </c>
      <c r="B218" s="57">
        <v>502.0</v>
      </c>
    </row>
    <row r="219">
      <c r="A219" s="54">
        <v>49495.0</v>
      </c>
      <c r="B219" s="57">
        <v>502.0</v>
      </c>
    </row>
    <row r="220">
      <c r="A220" s="54">
        <v>49526.0</v>
      </c>
      <c r="B220" s="57">
        <v>502.0</v>
      </c>
    </row>
    <row r="221">
      <c r="A221" s="54">
        <v>49557.0</v>
      </c>
      <c r="B221" s="57">
        <v>502.0</v>
      </c>
    </row>
    <row r="222">
      <c r="A222" s="54">
        <v>49587.0</v>
      </c>
      <c r="B222" s="57">
        <v>502.0</v>
      </c>
    </row>
    <row r="223">
      <c r="A223" s="54">
        <v>49618.0</v>
      </c>
      <c r="B223" s="57">
        <v>502.0</v>
      </c>
    </row>
    <row r="224">
      <c r="A224" s="54">
        <v>49648.0</v>
      </c>
      <c r="B224" s="57">
        <v>502.0</v>
      </c>
    </row>
    <row r="225">
      <c r="A225" s="54">
        <v>49679.0</v>
      </c>
      <c r="B225" s="57">
        <v>501.0</v>
      </c>
    </row>
    <row r="226">
      <c r="A226" s="54">
        <v>49710.0</v>
      </c>
      <c r="B226" s="57">
        <v>501.0</v>
      </c>
    </row>
    <row r="227">
      <c r="A227" s="54">
        <v>49739.0</v>
      </c>
      <c r="B227" s="57">
        <v>501.0</v>
      </c>
    </row>
    <row r="228">
      <c r="A228" s="54">
        <v>49770.0</v>
      </c>
      <c r="B228" s="57">
        <v>501.0</v>
      </c>
    </row>
    <row r="229">
      <c r="A229" s="54">
        <v>49800.0</v>
      </c>
      <c r="B229" s="57">
        <v>501.0</v>
      </c>
    </row>
    <row r="230">
      <c r="A230" s="54">
        <v>49831.0</v>
      </c>
      <c r="B230" s="57">
        <v>501.0</v>
      </c>
    </row>
    <row r="231">
      <c r="A231" s="54">
        <v>49861.0</v>
      </c>
      <c r="B231" s="57">
        <v>501.0</v>
      </c>
    </row>
    <row r="232">
      <c r="A232" s="54">
        <v>49892.0</v>
      </c>
      <c r="B232" s="57">
        <v>501.0</v>
      </c>
    </row>
    <row r="233">
      <c r="A233" s="54">
        <v>49923.0</v>
      </c>
      <c r="B233" s="57">
        <v>501.0</v>
      </c>
    </row>
    <row r="234">
      <c r="A234" s="54">
        <v>49953.0</v>
      </c>
      <c r="B234" s="57">
        <v>501.0</v>
      </c>
    </row>
    <row r="235">
      <c r="A235" s="54">
        <v>49984.0</v>
      </c>
      <c r="B235" s="57">
        <v>501.0</v>
      </c>
    </row>
    <row r="236">
      <c r="A236" s="54">
        <v>50014.0</v>
      </c>
      <c r="B236" s="57">
        <v>501.0</v>
      </c>
    </row>
    <row r="237">
      <c r="A237" s="54">
        <v>50045.0</v>
      </c>
      <c r="B237" s="57">
        <v>500.0</v>
      </c>
    </row>
    <row r="238">
      <c r="A238" s="54">
        <v>50076.0</v>
      </c>
      <c r="B238" s="57">
        <v>500.0</v>
      </c>
    </row>
    <row r="239">
      <c r="A239" s="54">
        <v>50104.0</v>
      </c>
      <c r="B239" s="57">
        <v>500.0</v>
      </c>
    </row>
    <row r="240">
      <c r="A240" s="54">
        <v>50135.0</v>
      </c>
      <c r="B240" s="57">
        <v>500.0</v>
      </c>
    </row>
    <row r="241">
      <c r="A241" s="54">
        <v>50165.0</v>
      </c>
      <c r="B241" s="57">
        <v>500.0</v>
      </c>
    </row>
    <row r="242">
      <c r="A242" s="54">
        <v>50196.0</v>
      </c>
      <c r="B242" s="57">
        <v>500.0</v>
      </c>
    </row>
    <row r="243">
      <c r="A243" s="54">
        <v>50226.0</v>
      </c>
      <c r="B243" s="57">
        <v>500.0</v>
      </c>
    </row>
    <row r="244">
      <c r="A244" s="54">
        <v>50257.0</v>
      </c>
      <c r="B244" s="57">
        <v>500.0</v>
      </c>
    </row>
    <row r="245">
      <c r="A245" s="54">
        <v>50288.0</v>
      </c>
      <c r="B245" s="57">
        <v>500.0</v>
      </c>
    </row>
    <row r="246">
      <c r="A246" s="54">
        <v>50318.0</v>
      </c>
      <c r="B246" s="57">
        <v>500.0</v>
      </c>
    </row>
    <row r="247">
      <c r="A247" s="54">
        <v>50349.0</v>
      </c>
      <c r="B247" s="57">
        <v>500.0</v>
      </c>
    </row>
    <row r="248">
      <c r="A248" s="54">
        <v>50379.0</v>
      </c>
      <c r="B248" s="57">
        <v>500.0</v>
      </c>
    </row>
    <row r="249">
      <c r="A249" s="54">
        <v>50410.0</v>
      </c>
      <c r="B249" s="57">
        <v>499.0</v>
      </c>
    </row>
    <row r="250">
      <c r="A250" s="54">
        <v>50441.0</v>
      </c>
      <c r="B250" s="57">
        <v>499.0</v>
      </c>
    </row>
    <row r="251">
      <c r="A251" s="54">
        <v>50469.0</v>
      </c>
      <c r="B251" s="57">
        <v>499.0</v>
      </c>
    </row>
    <row r="252">
      <c r="A252" s="54">
        <v>50500.0</v>
      </c>
      <c r="B252" s="57">
        <v>499.0</v>
      </c>
    </row>
    <row r="253">
      <c r="A253" s="54">
        <v>50530.0</v>
      </c>
      <c r="B253" s="57">
        <v>499.0</v>
      </c>
    </row>
    <row r="254">
      <c r="A254" s="54">
        <v>50561.0</v>
      </c>
      <c r="B254" s="57">
        <v>499.0</v>
      </c>
    </row>
    <row r="255">
      <c r="A255" s="54">
        <v>50591.0</v>
      </c>
      <c r="B255" s="57">
        <v>499.0</v>
      </c>
    </row>
    <row r="256">
      <c r="A256" s="54">
        <v>50622.0</v>
      </c>
      <c r="B256" s="57">
        <v>499.0</v>
      </c>
    </row>
    <row r="257">
      <c r="A257" s="54">
        <v>50653.0</v>
      </c>
      <c r="B257" s="57">
        <v>499.0</v>
      </c>
    </row>
    <row r="258">
      <c r="A258" s="54">
        <v>50683.0</v>
      </c>
      <c r="B258" s="57">
        <v>499.0</v>
      </c>
    </row>
    <row r="259">
      <c r="A259" s="54">
        <v>50714.0</v>
      </c>
      <c r="B259" s="57">
        <v>499.0</v>
      </c>
    </row>
    <row r="260">
      <c r="A260" s="54">
        <v>50744.0</v>
      </c>
      <c r="B260" s="57">
        <v>498.0</v>
      </c>
    </row>
    <row r="261">
      <c r="A261" s="54">
        <v>50775.0</v>
      </c>
      <c r="B261" s="57">
        <v>498.0</v>
      </c>
    </row>
    <row r="262">
      <c r="A262" s="54">
        <v>50806.0</v>
      </c>
      <c r="B262" s="57">
        <v>498.0</v>
      </c>
    </row>
    <row r="263">
      <c r="A263" s="54">
        <v>50834.0</v>
      </c>
      <c r="B263" s="57">
        <v>498.0</v>
      </c>
    </row>
    <row r="264">
      <c r="A264" s="54">
        <v>50865.0</v>
      </c>
      <c r="B264" s="57">
        <v>498.0</v>
      </c>
    </row>
    <row r="265">
      <c r="A265" s="54">
        <v>50895.0</v>
      </c>
      <c r="B265" s="57">
        <v>498.0</v>
      </c>
    </row>
    <row r="266">
      <c r="A266" s="54">
        <v>50926.0</v>
      </c>
      <c r="B266" s="57">
        <v>498.0</v>
      </c>
    </row>
    <row r="267">
      <c r="A267" s="54">
        <v>50956.0</v>
      </c>
      <c r="B267" s="57">
        <v>498.0</v>
      </c>
    </row>
    <row r="268">
      <c r="A268" s="54">
        <v>50987.0</v>
      </c>
      <c r="B268" s="57">
        <v>498.0</v>
      </c>
    </row>
    <row r="269">
      <c r="A269" s="54">
        <v>51018.0</v>
      </c>
      <c r="B269" s="57">
        <v>498.0</v>
      </c>
    </row>
    <row r="270">
      <c r="A270" s="54">
        <v>51048.0</v>
      </c>
      <c r="B270" s="57">
        <v>498.0</v>
      </c>
    </row>
    <row r="271">
      <c r="A271" s="54">
        <v>51079.0</v>
      </c>
      <c r="B271" s="57">
        <v>498.0</v>
      </c>
    </row>
    <row r="272">
      <c r="A272" s="54">
        <v>51109.0</v>
      </c>
      <c r="B272" s="57">
        <v>497.0</v>
      </c>
    </row>
    <row r="273">
      <c r="A273" s="54">
        <v>51140.0</v>
      </c>
      <c r="B273" s="57">
        <v>497.0</v>
      </c>
    </row>
    <row r="274">
      <c r="A274" s="54">
        <v>51171.0</v>
      </c>
      <c r="B274" s="57">
        <v>497.0</v>
      </c>
    </row>
    <row r="275">
      <c r="A275" s="54">
        <v>51200.0</v>
      </c>
      <c r="B275" s="57">
        <v>497.0</v>
      </c>
    </row>
    <row r="276">
      <c r="A276" s="54">
        <v>51231.0</v>
      </c>
      <c r="B276" s="57">
        <v>497.0</v>
      </c>
    </row>
    <row r="277">
      <c r="A277" s="54">
        <v>51261.0</v>
      </c>
      <c r="B277" s="57">
        <v>497.0</v>
      </c>
    </row>
    <row r="278">
      <c r="A278" s="54">
        <v>51292.0</v>
      </c>
      <c r="B278" s="57">
        <v>497.0</v>
      </c>
    </row>
    <row r="279">
      <c r="A279" s="54">
        <v>51322.0</v>
      </c>
      <c r="B279" s="57">
        <v>497.0</v>
      </c>
    </row>
    <row r="280">
      <c r="A280" s="54">
        <v>51353.0</v>
      </c>
      <c r="B280" s="57">
        <v>497.0</v>
      </c>
    </row>
    <row r="281">
      <c r="A281" s="54">
        <v>51384.0</v>
      </c>
      <c r="B281" s="57">
        <v>497.0</v>
      </c>
    </row>
    <row r="282">
      <c r="A282" s="54">
        <v>51414.0</v>
      </c>
      <c r="B282" s="57">
        <v>497.0</v>
      </c>
    </row>
    <row r="283">
      <c r="A283" s="54">
        <v>51445.0</v>
      </c>
      <c r="B283" s="57">
        <v>496.0</v>
      </c>
    </row>
    <row r="284">
      <c r="A284" s="54">
        <v>51475.0</v>
      </c>
      <c r="B284" s="57">
        <v>496.0</v>
      </c>
    </row>
    <row r="285">
      <c r="A285" s="54">
        <v>51506.0</v>
      </c>
      <c r="B285" s="57">
        <v>496.0</v>
      </c>
    </row>
    <row r="286">
      <c r="A286" s="54">
        <v>51537.0</v>
      </c>
      <c r="B286" s="57">
        <v>496.0</v>
      </c>
    </row>
    <row r="287">
      <c r="A287" s="54">
        <v>51565.0</v>
      </c>
      <c r="B287" s="57">
        <v>496.0</v>
      </c>
    </row>
    <row r="288">
      <c r="A288" s="54">
        <v>51596.0</v>
      </c>
      <c r="B288" s="57">
        <v>496.0</v>
      </c>
    </row>
    <row r="289">
      <c r="A289" s="54">
        <v>51626.0</v>
      </c>
      <c r="B289" s="57">
        <v>496.0</v>
      </c>
    </row>
    <row r="290">
      <c r="A290" s="54">
        <v>51657.0</v>
      </c>
      <c r="B290" s="57">
        <v>496.0</v>
      </c>
    </row>
    <row r="291">
      <c r="A291" s="54">
        <v>51687.0</v>
      </c>
      <c r="B291" s="57">
        <v>496.0</v>
      </c>
    </row>
    <row r="292">
      <c r="A292" s="54">
        <v>51718.0</v>
      </c>
      <c r="B292" s="57">
        <v>496.0</v>
      </c>
    </row>
    <row r="293">
      <c r="A293" s="54">
        <v>51749.0</v>
      </c>
      <c r="B293" s="57">
        <v>496.0</v>
      </c>
    </row>
    <row r="294">
      <c r="A294" s="54">
        <v>51779.0</v>
      </c>
      <c r="B294" s="57">
        <v>495.0</v>
      </c>
    </row>
    <row r="295">
      <c r="A295" s="54">
        <v>51810.0</v>
      </c>
      <c r="B295" s="57">
        <v>495.0</v>
      </c>
    </row>
    <row r="296">
      <c r="A296" s="54">
        <v>51840.0</v>
      </c>
      <c r="B296" s="57">
        <v>495.0</v>
      </c>
    </row>
    <row r="297">
      <c r="A297" s="54">
        <v>51871.0</v>
      </c>
      <c r="B297" s="57">
        <v>495.0</v>
      </c>
    </row>
    <row r="298">
      <c r="A298" s="54">
        <v>51902.0</v>
      </c>
      <c r="B298" s="57">
        <v>495.0</v>
      </c>
    </row>
    <row r="299">
      <c r="A299" s="54">
        <v>51930.0</v>
      </c>
      <c r="B299" s="57">
        <v>495.0</v>
      </c>
    </row>
    <row r="300">
      <c r="A300" s="54">
        <v>51961.0</v>
      </c>
      <c r="B300" s="57">
        <v>495.0</v>
      </c>
    </row>
    <row r="301">
      <c r="A301" s="54">
        <v>51991.0</v>
      </c>
      <c r="B301" s="57">
        <v>495.0</v>
      </c>
    </row>
    <row r="302">
      <c r="A302" s="54">
        <v>52022.0</v>
      </c>
      <c r="B302" s="57">
        <v>495.0</v>
      </c>
    </row>
    <row r="303">
      <c r="A303" s="54">
        <v>52052.0</v>
      </c>
      <c r="B303" s="57">
        <v>495.0</v>
      </c>
    </row>
    <row r="304">
      <c r="A304" s="54">
        <v>52083.0</v>
      </c>
      <c r="B304" s="57">
        <v>495.0</v>
      </c>
    </row>
    <row r="305">
      <c r="A305" s="54"/>
    </row>
    <row r="306">
      <c r="A306" s="54"/>
      <c r="B306" s="56">
        <f>AVERAGE(B70:B304)</f>
        <v>504.1617021</v>
      </c>
    </row>
    <row r="307">
      <c r="A307" s="54"/>
    </row>
    <row r="308">
      <c r="A308" s="54"/>
    </row>
    <row r="309">
      <c r="A309" s="54"/>
    </row>
    <row r="310">
      <c r="A310" s="54"/>
    </row>
    <row r="311">
      <c r="A311" s="54"/>
    </row>
    <row r="312">
      <c r="A312" s="54"/>
    </row>
    <row r="313">
      <c r="A313" s="54"/>
    </row>
    <row r="314">
      <c r="A314" s="54"/>
    </row>
    <row r="315">
      <c r="A315" s="54"/>
    </row>
    <row r="316">
      <c r="A316" s="54"/>
    </row>
    <row r="317">
      <c r="A317" s="54"/>
    </row>
    <row r="318">
      <c r="A318" s="54"/>
    </row>
    <row r="319">
      <c r="A319" s="54"/>
    </row>
    <row r="320">
      <c r="A320" s="54"/>
    </row>
    <row r="321">
      <c r="A321" s="54"/>
    </row>
    <row r="322">
      <c r="A322" s="54"/>
    </row>
    <row r="323">
      <c r="A323" s="54"/>
    </row>
    <row r="324">
      <c r="A324" s="54"/>
    </row>
    <row r="325">
      <c r="A325" s="54"/>
    </row>
    <row r="326">
      <c r="A326" s="54"/>
    </row>
    <row r="327">
      <c r="A327" s="54"/>
    </row>
    <row r="328">
      <c r="A328" s="54"/>
    </row>
    <row r="329">
      <c r="A329" s="54"/>
    </row>
    <row r="330">
      <c r="A330" s="54"/>
    </row>
    <row r="331">
      <c r="A331" s="54"/>
    </row>
    <row r="332">
      <c r="A332" s="54"/>
    </row>
    <row r="333">
      <c r="A333" s="54"/>
    </row>
    <row r="334">
      <c r="A334" s="54"/>
    </row>
    <row r="335">
      <c r="A335" s="54"/>
    </row>
    <row r="336">
      <c r="A336" s="54"/>
    </row>
    <row r="337">
      <c r="A337" s="54"/>
    </row>
    <row r="338">
      <c r="A338" s="54"/>
    </row>
    <row r="339">
      <c r="A339" s="54"/>
    </row>
    <row r="340">
      <c r="A340" s="54"/>
    </row>
    <row r="341">
      <c r="A341" s="54"/>
    </row>
    <row r="342">
      <c r="A342" s="54"/>
    </row>
    <row r="343">
      <c r="A343" s="54"/>
    </row>
    <row r="344">
      <c r="A344" s="54"/>
    </row>
    <row r="345">
      <c r="A345" s="54"/>
    </row>
    <row r="346">
      <c r="A346" s="54"/>
    </row>
    <row r="347">
      <c r="A347" s="54"/>
    </row>
    <row r="348">
      <c r="A348" s="54"/>
    </row>
    <row r="349">
      <c r="A349" s="54"/>
    </row>
    <row r="350">
      <c r="A350" s="54"/>
    </row>
    <row r="351">
      <c r="A351" s="54"/>
    </row>
    <row r="352">
      <c r="A352" s="54"/>
    </row>
    <row r="353">
      <c r="A353" s="54"/>
    </row>
    <row r="354">
      <c r="A354" s="54"/>
    </row>
    <row r="355">
      <c r="A355" s="54"/>
    </row>
    <row r="356">
      <c r="A356" s="54"/>
    </row>
    <row r="357">
      <c r="A357" s="54"/>
    </row>
    <row r="358">
      <c r="A358" s="54"/>
    </row>
    <row r="359">
      <c r="A359" s="54"/>
    </row>
    <row r="360">
      <c r="A360" s="54"/>
    </row>
    <row r="361">
      <c r="A361" s="54"/>
    </row>
    <row r="362">
      <c r="A362" s="54"/>
    </row>
    <row r="363">
      <c r="A363" s="54"/>
    </row>
    <row r="364">
      <c r="A364" s="54"/>
    </row>
    <row r="365">
      <c r="A365" s="54"/>
    </row>
    <row r="366">
      <c r="A366" s="54"/>
    </row>
    <row r="367">
      <c r="A367" s="54"/>
    </row>
    <row r="368">
      <c r="A368" s="54"/>
    </row>
    <row r="369">
      <c r="A369" s="54"/>
    </row>
    <row r="370">
      <c r="A370" s="54"/>
    </row>
    <row r="371">
      <c r="A371" s="54"/>
    </row>
    <row r="372">
      <c r="A372" s="54"/>
    </row>
    <row r="373">
      <c r="A373" s="54"/>
    </row>
    <row r="374">
      <c r="A374" s="54"/>
    </row>
    <row r="375">
      <c r="A375" s="54"/>
    </row>
    <row r="376">
      <c r="A376" s="54"/>
    </row>
    <row r="377">
      <c r="A377" s="54"/>
    </row>
    <row r="378">
      <c r="A378" s="54"/>
    </row>
    <row r="379">
      <c r="A379" s="54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5" t="s">
        <v>101</v>
      </c>
      <c r="B2" s="5" t="s">
        <v>80</v>
      </c>
      <c r="C2" s="5" t="s">
        <v>102</v>
      </c>
      <c r="D2" s="5" t="s">
        <v>103</v>
      </c>
      <c r="F2" s="51" t="s">
        <v>31</v>
      </c>
      <c r="G2" s="20">
        <f>sum(D3:D150)</f>
        <v>87520</v>
      </c>
    </row>
    <row r="3">
      <c r="A3" s="52">
        <v>42887.0</v>
      </c>
      <c r="B3" s="2" t="s">
        <v>117</v>
      </c>
      <c r="C3" s="2" t="s">
        <v>118</v>
      </c>
      <c r="D3" s="59">
        <v>73200.0</v>
      </c>
    </row>
    <row r="4">
      <c r="A4" s="52">
        <v>42887.0</v>
      </c>
      <c r="B4" s="2" t="s">
        <v>119</v>
      </c>
      <c r="C4" s="2" t="s">
        <v>120</v>
      </c>
      <c r="D4" s="59">
        <v>1410.0</v>
      </c>
    </row>
    <row r="5">
      <c r="A5" s="52">
        <v>42887.0</v>
      </c>
      <c r="B5" s="2" t="s">
        <v>121</v>
      </c>
      <c r="C5" s="2" t="s">
        <v>122</v>
      </c>
      <c r="D5" s="59">
        <v>9200.0</v>
      </c>
    </row>
    <row r="6">
      <c r="A6" s="52">
        <v>42975.0</v>
      </c>
      <c r="B6" s="2" t="s">
        <v>119</v>
      </c>
      <c r="C6" s="2" t="s">
        <v>120</v>
      </c>
      <c r="D6" s="59">
        <f>5000-1410</f>
        <v>3590</v>
      </c>
    </row>
    <row r="7">
      <c r="A7" s="52">
        <v>42979.0</v>
      </c>
      <c r="B7" s="2" t="s">
        <v>123</v>
      </c>
      <c r="D7" s="2">
        <v>120.0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5.75"/>
    <col customWidth="1" min="3" max="3" width="26.13"/>
  </cols>
  <sheetData>
    <row r="2">
      <c r="A2" s="5" t="s">
        <v>124</v>
      </c>
      <c r="B2" s="60">
        <v>160179.0</v>
      </c>
    </row>
    <row r="3">
      <c r="A3" s="5" t="s">
        <v>125</v>
      </c>
      <c r="B3" s="61">
        <v>116000.0</v>
      </c>
    </row>
    <row r="4">
      <c r="A4" s="5" t="s">
        <v>126</v>
      </c>
      <c r="B4" s="62">
        <f>B2-B3</f>
        <v>44179</v>
      </c>
    </row>
    <row r="6">
      <c r="A6" s="5" t="s">
        <v>127</v>
      </c>
      <c r="B6" s="63">
        <f>B2</f>
        <v>160179</v>
      </c>
    </row>
    <row r="7">
      <c r="A7" s="5" t="s">
        <v>60</v>
      </c>
      <c r="B7" s="64">
        <f>'Chris appart'!G2+'Ammortissement Appart'!H1</f>
        <v>95296</v>
      </c>
      <c r="D7" s="65"/>
    </row>
    <row r="8">
      <c r="A8" s="5" t="s">
        <v>128</v>
      </c>
      <c r="B8" s="64">
        <f>'Alex appart'!G2+'Ammortissement Appart'!H2</f>
        <v>27255.41</v>
      </c>
    </row>
    <row r="9">
      <c r="A9" s="5" t="s">
        <v>129</v>
      </c>
      <c r="B9" s="62">
        <f>sum(B6:B8)</f>
        <v>282730.41</v>
      </c>
    </row>
    <row r="11">
      <c r="A11" s="66" t="s">
        <v>130</v>
      </c>
      <c r="B11" s="2"/>
    </row>
    <row r="12">
      <c r="A12" s="17" t="s">
        <v>131</v>
      </c>
      <c r="B12" s="67">
        <f>B7/B9</f>
        <v>0.3370560669</v>
      </c>
    </row>
    <row r="13">
      <c r="A13" s="17" t="s">
        <v>132</v>
      </c>
      <c r="B13" s="67">
        <f>B8/B9</f>
        <v>0.096400702</v>
      </c>
    </row>
    <row r="14">
      <c r="A14" s="17" t="s">
        <v>133</v>
      </c>
      <c r="B14" s="67">
        <f>1 - (B7+B8)/B9</f>
        <v>0.5665432311</v>
      </c>
    </row>
    <row r="16">
      <c r="A16" s="66" t="s">
        <v>134</v>
      </c>
      <c r="B16" s="66"/>
      <c r="C16" s="66" t="s">
        <v>103</v>
      </c>
      <c r="D16" s="66" t="s">
        <v>135</v>
      </c>
    </row>
    <row r="17">
      <c r="A17" s="2" t="s">
        <v>63</v>
      </c>
      <c r="B17" s="68">
        <f t="shared" ref="B17:B18" si="1">0.5-B12</f>
        <v>0.1629439331</v>
      </c>
      <c r="C17" s="50">
        <f>B17*B9</f>
        <v>46069.205</v>
      </c>
      <c r="D17" s="50">
        <f>C17/'Ammortissement Appart'!H3</f>
        <v>196.0391702</v>
      </c>
      <c r="H17" s="50">
        <f>C17+C18</f>
        <v>160179</v>
      </c>
      <c r="I17" s="2">
        <v>100.0</v>
      </c>
    </row>
    <row r="18">
      <c r="A18" s="2" t="s">
        <v>62</v>
      </c>
      <c r="B18" s="68">
        <f t="shared" si="1"/>
        <v>0.403599298</v>
      </c>
      <c r="C18" s="50">
        <f>B18*B9</f>
        <v>114109.795</v>
      </c>
      <c r="D18" s="50">
        <f>C18/'Ammortissement Appart'!H3</f>
        <v>485.5735957</v>
      </c>
      <c r="G18" s="2" t="s">
        <v>136</v>
      </c>
      <c r="H18" s="2">
        <v>46069.0</v>
      </c>
      <c r="I18" s="69">
        <f>H18*I17/H17</f>
        <v>28.76094869</v>
      </c>
    </row>
    <row r="19">
      <c r="A19" s="2"/>
      <c r="G19" s="2" t="s">
        <v>137</v>
      </c>
      <c r="H19" s="2">
        <v>114110.0</v>
      </c>
      <c r="I19" s="69">
        <f>H19*I17/H17</f>
        <v>71.23905131</v>
      </c>
    </row>
    <row r="22">
      <c r="B22">
        <f>533*12*25</f>
        <v>159900</v>
      </c>
    </row>
    <row r="30">
      <c r="A30" s="2" t="s">
        <v>138</v>
      </c>
      <c r="B30" s="2">
        <f>533.93*4+152.45+1718</f>
        <v>4006.17</v>
      </c>
    </row>
    <row r="31">
      <c r="A31" s="2" t="s">
        <v>139</v>
      </c>
      <c r="B31">
        <f t="shared" ref="B31:B32" si="2">533.93*12</f>
        <v>6407.16</v>
      </c>
    </row>
    <row r="32">
      <c r="A32" s="2" t="s">
        <v>140</v>
      </c>
      <c r="B32">
        <f t="shared" si="2"/>
        <v>6407.16</v>
      </c>
    </row>
    <row r="33">
      <c r="A33" s="2" t="s">
        <v>141</v>
      </c>
      <c r="B33">
        <f>533.93*10</f>
        <v>5339.3</v>
      </c>
    </row>
    <row r="34">
      <c r="A34" s="5" t="s">
        <v>142</v>
      </c>
      <c r="B34">
        <f>sum(B30:B33)</f>
        <v>22159.79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5.75"/>
    <col customWidth="1" min="3" max="3" width="26.13"/>
    <col customWidth="1" min="8" max="8" width="16.13"/>
    <col customWidth="1" min="10" max="10" width="39.5"/>
    <col customWidth="1" min="11" max="11" width="23.5"/>
  </cols>
  <sheetData>
    <row r="2">
      <c r="A2" s="5" t="s">
        <v>124</v>
      </c>
      <c r="B2" s="70">
        <f>'Ammortissement Appart'!H4</f>
        <v>154494.34</v>
      </c>
    </row>
    <row r="3">
      <c r="A3" s="5" t="s">
        <v>125</v>
      </c>
      <c r="B3" s="61">
        <v>116000.0</v>
      </c>
    </row>
    <row r="4">
      <c r="A4" s="5" t="s">
        <v>126</v>
      </c>
      <c r="B4" s="71">
        <f>B2-B3</f>
        <v>38494.34</v>
      </c>
    </row>
    <row r="6">
      <c r="A6" s="5" t="s">
        <v>127</v>
      </c>
      <c r="B6" s="72">
        <f>B2</f>
        <v>154494.34</v>
      </c>
    </row>
    <row r="7">
      <c r="A7" s="5" t="s">
        <v>60</v>
      </c>
      <c r="B7" s="65">
        <f>'Chris appart'!G2</f>
        <v>87520</v>
      </c>
      <c r="D7" s="65"/>
    </row>
    <row r="8">
      <c r="A8" s="5" t="s">
        <v>128</v>
      </c>
      <c r="B8" s="65">
        <f>'Alex appart'!G2</f>
        <v>1299</v>
      </c>
    </row>
    <row r="9">
      <c r="A9" s="5" t="s">
        <v>143</v>
      </c>
      <c r="B9" s="73">
        <f>'Ammortissement Appart'!H1</f>
        <v>7776</v>
      </c>
    </row>
    <row r="10">
      <c r="A10" s="5" t="s">
        <v>144</v>
      </c>
      <c r="B10" s="73">
        <f>'Ammortissement Appart'!H2</f>
        <v>25956.41</v>
      </c>
    </row>
    <row r="11">
      <c r="A11" s="5" t="s">
        <v>129</v>
      </c>
      <c r="B11" s="71">
        <f>sum(B6:B8)</f>
        <v>243313.34</v>
      </c>
    </row>
    <row r="13">
      <c r="A13" s="66" t="s">
        <v>130</v>
      </c>
      <c r="B13" s="2"/>
    </row>
    <row r="14">
      <c r="A14" s="17" t="s">
        <v>131</v>
      </c>
      <c r="B14" s="67">
        <f>(B7+B9)/B11</f>
        <v>0.3916595777</v>
      </c>
    </row>
    <row r="15">
      <c r="A15" s="17" t="s">
        <v>132</v>
      </c>
      <c r="B15" s="67">
        <f>(B8+B10)/B11</f>
        <v>0.1120177381</v>
      </c>
    </row>
    <row r="16">
      <c r="A16" s="17" t="s">
        <v>133</v>
      </c>
      <c r="B16" s="67">
        <f>1 - (B7+B8)/B11</f>
        <v>0.6349604177</v>
      </c>
      <c r="H16" s="66" t="s">
        <v>145</v>
      </c>
      <c r="I16" s="74">
        <f>'Ammortissement Appart'!B306</f>
        <v>504.1617021</v>
      </c>
    </row>
    <row r="17">
      <c r="J17" s="66" t="s">
        <v>146</v>
      </c>
      <c r="K17" s="66" t="s">
        <v>147</v>
      </c>
      <c r="L17" s="66" t="s">
        <v>148</v>
      </c>
    </row>
    <row r="18">
      <c r="A18" s="66" t="s">
        <v>134</v>
      </c>
      <c r="B18" s="66"/>
      <c r="C18" s="66" t="s">
        <v>103</v>
      </c>
      <c r="D18" s="66" t="s">
        <v>135</v>
      </c>
      <c r="H18" s="66" t="s">
        <v>149</v>
      </c>
      <c r="I18" s="75">
        <f>C19+C20</f>
        <v>120761.93</v>
      </c>
      <c r="J18" s="74">
        <f>'Ammortissement Appart'!H5</f>
        <v>120761.93</v>
      </c>
      <c r="K18" s="76">
        <v>1.0</v>
      </c>
      <c r="L18" s="74">
        <f>I18</f>
        <v>120761.93</v>
      </c>
    </row>
    <row r="19">
      <c r="A19" s="2" t="s">
        <v>63</v>
      </c>
      <c r="B19" s="68">
        <f t="shared" ref="B19:B20" si="1">0.5-B14</f>
        <v>0.1083404223</v>
      </c>
      <c r="C19" s="50">
        <f>B19*B11</f>
        <v>26360.67</v>
      </c>
      <c r="D19" s="50">
        <f>C19/'Ammortissement Appart'!H3</f>
        <v>112.1730638</v>
      </c>
      <c r="H19" s="66" t="s">
        <v>63</v>
      </c>
      <c r="I19" s="75">
        <f t="shared" ref="I19:I20" si="2">C19</f>
        <v>26360.67</v>
      </c>
      <c r="J19" s="20"/>
      <c r="K19" s="67">
        <f>I19/I18</f>
        <v>0.2182862596</v>
      </c>
      <c r="L19" s="74">
        <f>K19*I16</f>
        <v>110.0515722</v>
      </c>
    </row>
    <row r="20">
      <c r="A20" s="2" t="s">
        <v>62</v>
      </c>
      <c r="B20" s="68">
        <f t="shared" si="1"/>
        <v>0.3879822619</v>
      </c>
      <c r="C20" s="50">
        <f>B20*B11</f>
        <v>94401.26</v>
      </c>
      <c r="D20" s="50">
        <f>C20/'Ammortissement Appart'!H3</f>
        <v>401.7074894</v>
      </c>
      <c r="H20" s="66" t="s">
        <v>62</v>
      </c>
      <c r="I20" s="75">
        <f t="shared" si="2"/>
        <v>94401.26</v>
      </c>
      <c r="J20" s="20"/>
      <c r="K20" s="67">
        <f>I20/I18</f>
        <v>0.7817137404</v>
      </c>
      <c r="L20" s="74">
        <f>K20*I16</f>
        <v>394.1101299</v>
      </c>
    </row>
    <row r="21">
      <c r="A21" s="2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15.75"/>
    <col customWidth="1" min="3" max="3" width="26.13"/>
  </cols>
  <sheetData>
    <row r="2">
      <c r="A2" s="5" t="s">
        <v>125</v>
      </c>
      <c r="B2" s="61">
        <v>105827.96</v>
      </c>
    </row>
    <row r="3">
      <c r="A3" s="5" t="s">
        <v>126</v>
      </c>
      <c r="B3" s="61">
        <v>28608.0</v>
      </c>
    </row>
    <row r="4">
      <c r="A4" s="5" t="s">
        <v>150</v>
      </c>
      <c r="B4" s="62">
        <f>sum(B2:B3)</f>
        <v>134435.96</v>
      </c>
    </row>
    <row r="6">
      <c r="A6" s="5" t="s">
        <v>127</v>
      </c>
      <c r="B6" s="63">
        <f>B4</f>
        <v>134435.96</v>
      </c>
    </row>
    <row r="7">
      <c r="A7" s="5" t="s">
        <v>60</v>
      </c>
      <c r="B7" s="77">
        <f>'Chris appart'!G2 +B35</f>
        <v>92630.05863</v>
      </c>
      <c r="C7" s="2" t="s">
        <v>151</v>
      </c>
    </row>
    <row r="8">
      <c r="A8" s="5" t="s">
        <v>128</v>
      </c>
      <c r="B8" s="77">
        <f>'Alex appart'!G2+B36</f>
        <v>18348.73137</v>
      </c>
      <c r="C8" s="2" t="s">
        <v>151</v>
      </c>
    </row>
    <row r="9">
      <c r="A9" s="5" t="s">
        <v>129</v>
      </c>
      <c r="B9" s="62">
        <f>sum(B6:B8)</f>
        <v>245414.75</v>
      </c>
      <c r="D9" s="2">
        <v>100.0</v>
      </c>
    </row>
    <row r="11">
      <c r="A11" s="66" t="s">
        <v>130</v>
      </c>
      <c r="B11" s="2"/>
    </row>
    <row r="12">
      <c r="A12" s="17" t="s">
        <v>131</v>
      </c>
      <c r="B12" s="67">
        <f>B7/B9</f>
        <v>0.377442915</v>
      </c>
    </row>
    <row r="13">
      <c r="A13" s="17" t="s">
        <v>132</v>
      </c>
      <c r="B13" s="67">
        <f>B8/B9</f>
        <v>0.07476621261</v>
      </c>
      <c r="H13">
        <f>21*12+8+3</f>
        <v>263</v>
      </c>
    </row>
    <row r="15">
      <c r="A15" s="66" t="s">
        <v>152</v>
      </c>
      <c r="B15" s="2">
        <v>262.0</v>
      </c>
    </row>
    <row r="16">
      <c r="A16" s="2"/>
    </row>
    <row r="17">
      <c r="A17" s="2" t="s">
        <v>153</v>
      </c>
    </row>
    <row r="19">
      <c r="A19" s="66" t="s">
        <v>154</v>
      </c>
      <c r="B19" s="66" t="s">
        <v>10</v>
      </c>
      <c r="C19" s="66" t="s">
        <v>155</v>
      </c>
    </row>
    <row r="20">
      <c r="A20" s="2" t="s">
        <v>63</v>
      </c>
      <c r="B20" s="78">
        <f>0.5*B9-B7</f>
        <v>30077.31637</v>
      </c>
      <c r="C20" s="50">
        <f>B20/B15</f>
        <v>114.7989175</v>
      </c>
    </row>
    <row r="21">
      <c r="A21" s="2" t="s">
        <v>62</v>
      </c>
      <c r="B21" s="78">
        <f>0.5*B9-B8</f>
        <v>104358.6436</v>
      </c>
      <c r="C21" s="50">
        <f>B21/B15</f>
        <v>398.3154337</v>
      </c>
    </row>
    <row r="23">
      <c r="A23" s="2"/>
      <c r="B23" s="2"/>
      <c r="C23" s="2"/>
    </row>
    <row r="24">
      <c r="A24" s="66" t="s">
        <v>156</v>
      </c>
      <c r="B24" s="66" t="s">
        <v>103</v>
      </c>
      <c r="C24" s="66" t="s">
        <v>157</v>
      </c>
    </row>
    <row r="25">
      <c r="A25" s="2" t="s">
        <v>158</v>
      </c>
      <c r="B25" s="2">
        <v>533.39</v>
      </c>
      <c r="C25" s="2">
        <v>100.0</v>
      </c>
    </row>
    <row r="26">
      <c r="A26" s="2" t="s">
        <v>143</v>
      </c>
      <c r="B26" s="2">
        <v>123.0</v>
      </c>
      <c r="C26" s="78">
        <f>123*100/533.39</f>
        <v>23.06004987</v>
      </c>
    </row>
    <row r="27">
      <c r="A27" s="2" t="s">
        <v>144</v>
      </c>
      <c r="B27" s="2">
        <f t="shared" ref="B27:C27" si="1">B25-B26</f>
        <v>410.39</v>
      </c>
      <c r="C27" s="78">
        <f t="shared" si="1"/>
        <v>76.93995013</v>
      </c>
    </row>
    <row r="29">
      <c r="A29" s="66" t="s">
        <v>142</v>
      </c>
      <c r="B29" s="66" t="s">
        <v>103</v>
      </c>
    </row>
    <row r="30">
      <c r="A30" s="2" t="s">
        <v>138</v>
      </c>
      <c r="B30" s="2">
        <f>533.93*4+152.45+1718</f>
        <v>4006.17</v>
      </c>
    </row>
    <row r="31">
      <c r="A31" s="2" t="s">
        <v>139</v>
      </c>
      <c r="B31">
        <f t="shared" ref="B31:B32" si="2">533.93*12</f>
        <v>6407.16</v>
      </c>
    </row>
    <row r="32">
      <c r="A32" s="2" t="s">
        <v>140</v>
      </c>
      <c r="B32">
        <f t="shared" si="2"/>
        <v>6407.16</v>
      </c>
    </row>
    <row r="33">
      <c r="A33" s="2" t="s">
        <v>141</v>
      </c>
      <c r="B33">
        <f>533.93*10</f>
        <v>5339.3</v>
      </c>
    </row>
    <row r="34">
      <c r="A34" s="5" t="s">
        <v>10</v>
      </c>
      <c r="B34">
        <f>sum(B30:B33)</f>
        <v>22159.79</v>
      </c>
    </row>
    <row r="35">
      <c r="A35" s="2" t="s">
        <v>159</v>
      </c>
      <c r="B35" s="78">
        <f>B34*C26/100</f>
        <v>5110.058625</v>
      </c>
    </row>
    <row r="36">
      <c r="A36" s="2" t="s">
        <v>160</v>
      </c>
      <c r="B36" s="78">
        <f>B34*C27/100</f>
        <v>17049.73137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25"/>
  </cols>
  <sheetData>
    <row r="1">
      <c r="C1" s="1" t="s">
        <v>0</v>
      </c>
      <c r="D1" s="1" t="s">
        <v>1</v>
      </c>
      <c r="F1" s="1" t="s">
        <v>161</v>
      </c>
      <c r="G1" s="2"/>
    </row>
    <row r="2">
      <c r="A2" s="1" t="s">
        <v>2</v>
      </c>
      <c r="B2" s="2" t="s">
        <v>3</v>
      </c>
      <c r="C2" s="2">
        <f>5+15+5+6</f>
        <v>31</v>
      </c>
      <c r="D2" s="3">
        <f>8+7+2+13+5+5</f>
        <v>40</v>
      </c>
      <c r="F2" s="79" t="s">
        <v>162</v>
      </c>
      <c r="G2" s="79" t="s">
        <v>103</v>
      </c>
      <c r="H2" s="79" t="s">
        <v>163</v>
      </c>
      <c r="I2" s="79" t="s">
        <v>80</v>
      </c>
      <c r="J2" s="79" t="s">
        <v>102</v>
      </c>
    </row>
    <row r="3">
      <c r="B3" s="2" t="s">
        <v>4</v>
      </c>
      <c r="D3" s="2"/>
      <c r="F3" s="17" t="s">
        <v>63</v>
      </c>
      <c r="G3" s="2">
        <v>1468.0</v>
      </c>
      <c r="H3" s="17" t="s">
        <v>164</v>
      </c>
      <c r="I3" s="17"/>
      <c r="J3" s="2"/>
    </row>
    <row r="4">
      <c r="B4" s="2" t="s">
        <v>5</v>
      </c>
      <c r="C4">
        <f>15</f>
        <v>15</v>
      </c>
      <c r="D4" s="2"/>
      <c r="F4" s="17" t="s">
        <v>62</v>
      </c>
      <c r="G4" s="17">
        <f>3425-979</f>
        <v>2446</v>
      </c>
      <c r="H4" s="17"/>
      <c r="I4" s="17"/>
      <c r="J4" s="17"/>
    </row>
    <row r="5">
      <c r="B5" s="2" t="s">
        <v>6</v>
      </c>
      <c r="C5">
        <f>6+7+25</f>
        <v>38</v>
      </c>
      <c r="D5" s="4">
        <f>113+92+135+165+20+7</f>
        <v>532</v>
      </c>
      <c r="F5" s="17" t="s">
        <v>63</v>
      </c>
      <c r="G5" s="17">
        <v>979.0</v>
      </c>
      <c r="H5" s="80"/>
      <c r="I5" s="17"/>
      <c r="J5" s="17"/>
    </row>
    <row r="6">
      <c r="B6" s="2" t="s">
        <v>165</v>
      </c>
      <c r="D6" s="4">
        <f>37+33</f>
        <v>70</v>
      </c>
      <c r="F6" s="17"/>
      <c r="G6" s="17">
        <f>sum(G5, G4, G3)</f>
        <v>4893</v>
      </c>
      <c r="H6" s="17" t="s">
        <v>166</v>
      </c>
      <c r="I6" s="17"/>
      <c r="J6" s="17"/>
    </row>
    <row r="7">
      <c r="A7" s="5" t="s">
        <v>10</v>
      </c>
      <c r="B7" s="6"/>
      <c r="C7" s="5">
        <f t="shared" ref="C7:D7" si="1">SUM(C2:C6)</f>
        <v>84</v>
      </c>
      <c r="D7" s="5">
        <f t="shared" si="1"/>
        <v>642</v>
      </c>
      <c r="E7" s="2"/>
      <c r="F7" s="17" t="s">
        <v>62</v>
      </c>
      <c r="G7" s="17">
        <v>1178.0</v>
      </c>
      <c r="H7" s="17"/>
      <c r="I7" s="17"/>
      <c r="J7" s="17"/>
    </row>
    <row r="8">
      <c r="A8" s="1" t="s">
        <v>7</v>
      </c>
      <c r="B8" s="2" t="s">
        <v>8</v>
      </c>
      <c r="D8" s="4"/>
      <c r="F8" s="17"/>
      <c r="G8" s="17"/>
      <c r="H8" s="17"/>
      <c r="I8" s="17"/>
      <c r="J8" s="17"/>
    </row>
    <row r="9">
      <c r="B9" s="2" t="s">
        <v>11</v>
      </c>
      <c r="C9" s="2"/>
      <c r="D9" s="2">
        <v>20.0</v>
      </c>
      <c r="F9" s="17"/>
      <c r="G9" s="17"/>
      <c r="H9" s="17"/>
      <c r="I9" s="17"/>
      <c r="J9" s="17"/>
    </row>
    <row r="10">
      <c r="B10" s="2" t="s">
        <v>12</v>
      </c>
      <c r="D10" s="2"/>
      <c r="E10" s="7"/>
      <c r="F10" s="17"/>
      <c r="G10" s="17"/>
      <c r="H10" s="17"/>
      <c r="I10" s="17"/>
      <c r="J10" s="17"/>
    </row>
    <row r="11">
      <c r="B11" s="2" t="s">
        <v>13</v>
      </c>
      <c r="D11" s="2">
        <v>242.0</v>
      </c>
      <c r="F11" s="17"/>
      <c r="G11" s="17"/>
      <c r="H11" s="17"/>
      <c r="I11" s="17"/>
      <c r="J11" s="17"/>
    </row>
    <row r="12">
      <c r="B12" s="2" t="s">
        <v>14</v>
      </c>
      <c r="C12" s="2"/>
      <c r="D12" s="2">
        <v>208.0</v>
      </c>
    </row>
    <row r="13">
      <c r="B13" s="2" t="s">
        <v>15</v>
      </c>
      <c r="C13" s="2">
        <f>7</f>
        <v>7</v>
      </c>
      <c r="D13" s="2">
        <v>39.0</v>
      </c>
      <c r="G13" s="2"/>
      <c r="I13" s="81"/>
    </row>
    <row r="14">
      <c r="B14" s="2" t="s">
        <v>16</v>
      </c>
      <c r="C14" s="2"/>
      <c r="D14" s="2">
        <v>338.0</v>
      </c>
      <c r="G14" s="2"/>
      <c r="H14" s="2"/>
    </row>
    <row r="15">
      <c r="B15" s="2" t="s">
        <v>17</v>
      </c>
      <c r="C15" s="2"/>
      <c r="D15" s="2"/>
      <c r="G15" s="2"/>
      <c r="H15" s="2"/>
    </row>
    <row r="16">
      <c r="B16" s="2" t="s">
        <v>18</v>
      </c>
      <c r="C16" s="2"/>
      <c r="D16" s="2"/>
      <c r="G16" s="2"/>
      <c r="H16" s="2"/>
    </row>
    <row r="17">
      <c r="A17" s="5" t="s">
        <v>10</v>
      </c>
      <c r="B17" s="6"/>
      <c r="C17" s="5">
        <f>SUM(C8:C16)</f>
        <v>7</v>
      </c>
      <c r="D17" s="82">
        <f>sum(D8:D16)</f>
        <v>847</v>
      </c>
      <c r="G17" s="2"/>
      <c r="H17" s="2"/>
    </row>
    <row r="18">
      <c r="A18" s="1" t="s">
        <v>19</v>
      </c>
      <c r="B18" s="2" t="s">
        <v>20</v>
      </c>
      <c r="D18" s="2">
        <v>82.0</v>
      </c>
      <c r="G18" s="2"/>
      <c r="H18" s="2"/>
    </row>
    <row r="19">
      <c r="B19" s="2" t="s">
        <v>21</v>
      </c>
      <c r="C19" s="2"/>
      <c r="D19" s="2"/>
      <c r="E19" s="2"/>
      <c r="G19" s="2"/>
      <c r="H19" s="2"/>
    </row>
    <row r="20">
      <c r="B20" s="2" t="s">
        <v>22</v>
      </c>
      <c r="G20" s="2"/>
      <c r="H20" s="2"/>
    </row>
    <row r="21">
      <c r="B21" s="2"/>
      <c r="D21" s="3"/>
      <c r="G21" s="2"/>
      <c r="H21" s="2"/>
    </row>
    <row r="22">
      <c r="B22" s="2" t="s">
        <v>24</v>
      </c>
      <c r="D22" s="2"/>
      <c r="E22" s="2"/>
      <c r="G22" s="2"/>
      <c r="H22" s="2"/>
    </row>
    <row r="23">
      <c r="B23" s="2" t="s">
        <v>26</v>
      </c>
      <c r="G23" s="2"/>
      <c r="H23" s="2"/>
    </row>
    <row r="24">
      <c r="A24" s="5" t="s">
        <v>10</v>
      </c>
      <c r="B24" s="5"/>
      <c r="C24" s="6">
        <f t="shared" ref="C24:D24" si="2">sum(C18:C23)</f>
        <v>0</v>
      </c>
      <c r="D24" s="6">
        <f t="shared" si="2"/>
        <v>82</v>
      </c>
    </row>
    <row r="25">
      <c r="A25" s="1" t="s">
        <v>23</v>
      </c>
      <c r="B25" s="2" t="s">
        <v>25</v>
      </c>
      <c r="C25" s="2">
        <f>67</f>
        <v>67</v>
      </c>
      <c r="D25" s="2"/>
    </row>
    <row r="26">
      <c r="B26" s="2" t="s">
        <v>27</v>
      </c>
      <c r="D26" s="2">
        <v>10.0</v>
      </c>
    </row>
    <row r="27">
      <c r="B27" s="2" t="s">
        <v>28</v>
      </c>
      <c r="C27" s="2">
        <f>306</f>
        <v>306</v>
      </c>
      <c r="D27" s="2"/>
    </row>
    <row r="28">
      <c r="B28" s="2" t="s">
        <v>29</v>
      </c>
      <c r="C28" s="9"/>
      <c r="D28" s="10"/>
    </row>
    <row r="29">
      <c r="A29" s="5" t="s">
        <v>10</v>
      </c>
      <c r="B29" s="5"/>
      <c r="C29" s="6">
        <f t="shared" ref="C29:D29" si="3">SUM(C25:C28)</f>
        <v>373</v>
      </c>
      <c r="D29" s="6">
        <f t="shared" si="3"/>
        <v>10</v>
      </c>
      <c r="G29" s="2" t="s">
        <v>30</v>
      </c>
      <c r="M29" s="2">
        <v>-195.0</v>
      </c>
    </row>
    <row r="30">
      <c r="A30" s="11" t="s">
        <v>10</v>
      </c>
    </row>
    <row r="31">
      <c r="A31" s="11" t="s">
        <v>31</v>
      </c>
      <c r="D31">
        <f>C7+C17+C24+C29</f>
        <v>464</v>
      </c>
    </row>
    <row r="32">
      <c r="A32" s="11" t="s">
        <v>32</v>
      </c>
      <c r="B32" s="13"/>
      <c r="C32" s="13"/>
      <c r="D32" s="83">
        <f>D7+D17+D24+D29</f>
        <v>1581</v>
      </c>
    </row>
    <row r="33">
      <c r="A33" s="11" t="s">
        <v>33</v>
      </c>
      <c r="B33" s="13"/>
      <c r="C33" s="13"/>
      <c r="D33" s="13">
        <f>(D32-D31)/2</f>
        <v>558.5</v>
      </c>
    </row>
    <row r="34">
      <c r="A34" s="2"/>
    </row>
    <row r="35">
      <c r="A35" s="2" t="s">
        <v>34</v>
      </c>
    </row>
    <row r="36">
      <c r="A36" s="1" t="s">
        <v>35</v>
      </c>
      <c r="B36" s="1" t="s">
        <v>36</v>
      </c>
      <c r="E36" s="1" t="s">
        <v>37</v>
      </c>
      <c r="F36" s="1" t="s">
        <v>36</v>
      </c>
      <c r="H36" s="15" t="s">
        <v>38</v>
      </c>
      <c r="I36" s="16">
        <f>B43-F43</f>
        <v>-60.5</v>
      </c>
    </row>
    <row r="37">
      <c r="A37" s="17" t="s">
        <v>39</v>
      </c>
      <c r="B37" s="20">
        <f>D33</f>
        <v>558.5</v>
      </c>
      <c r="E37" s="17" t="s">
        <v>167</v>
      </c>
      <c r="F37" s="16"/>
    </row>
    <row r="38">
      <c r="A38" s="17" t="s">
        <v>41</v>
      </c>
      <c r="B38" s="17">
        <v>-234.0</v>
      </c>
      <c r="E38" s="19" t="s">
        <v>168</v>
      </c>
      <c r="F38" s="17">
        <v>500.0</v>
      </c>
      <c r="H38" s="3" t="s">
        <v>42</v>
      </c>
    </row>
    <row r="39">
      <c r="A39" s="17" t="s">
        <v>43</v>
      </c>
      <c r="B39" s="17">
        <v>115.0</v>
      </c>
      <c r="E39" s="17"/>
      <c r="F39" s="16"/>
      <c r="G39" s="2"/>
      <c r="H39" s="15" t="s">
        <v>44</v>
      </c>
      <c r="I39" s="20">
        <f>D17/2</f>
        <v>423.5</v>
      </c>
    </row>
    <row r="40">
      <c r="A40" s="17"/>
      <c r="B40" s="17"/>
      <c r="E40" s="17"/>
      <c r="F40" s="16"/>
      <c r="H40" s="15" t="s">
        <v>45</v>
      </c>
      <c r="I40" s="20">
        <f>D7/2</f>
        <v>321</v>
      </c>
    </row>
    <row r="41">
      <c r="A41" s="17"/>
      <c r="B41" s="17"/>
      <c r="E41" s="20"/>
      <c r="F41" s="17"/>
      <c r="H41" s="15" t="s">
        <v>46</v>
      </c>
      <c r="I41" s="20">
        <f>D24/2</f>
        <v>41</v>
      </c>
    </row>
    <row r="42">
      <c r="A42" s="17"/>
      <c r="B42" s="21"/>
      <c r="E42" s="17"/>
      <c r="F42" s="17"/>
      <c r="H42" s="15" t="s">
        <v>47</v>
      </c>
      <c r="I42" s="20">
        <f>D29/2</f>
        <v>5</v>
      </c>
    </row>
    <row r="43">
      <c r="A43" s="17" t="s">
        <v>10</v>
      </c>
      <c r="B43" s="17">
        <f>sum(B37:B42)</f>
        <v>439.5</v>
      </c>
      <c r="E43" s="17" t="s">
        <v>10</v>
      </c>
      <c r="F43" s="18">
        <f>sum(F37:F42)</f>
        <v>500</v>
      </c>
      <c r="H43" s="15" t="s">
        <v>48</v>
      </c>
      <c r="I43" s="20">
        <f>sum(I39:I42)</f>
        <v>790.5</v>
      </c>
    </row>
  </sheetData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25"/>
  </cols>
  <sheetData>
    <row r="1">
      <c r="C1" s="1" t="s">
        <v>0</v>
      </c>
      <c r="D1" s="1" t="s">
        <v>1</v>
      </c>
      <c r="F1" s="1" t="s">
        <v>161</v>
      </c>
      <c r="G1" s="2"/>
    </row>
    <row r="2">
      <c r="A2" s="1" t="s">
        <v>2</v>
      </c>
      <c r="B2" s="2" t="s">
        <v>3</v>
      </c>
      <c r="C2" s="2"/>
      <c r="D2" s="3">
        <f>34+28</f>
        <v>62</v>
      </c>
      <c r="F2" s="79" t="s">
        <v>162</v>
      </c>
      <c r="G2" s="79" t="s">
        <v>103</v>
      </c>
      <c r="H2" s="79" t="s">
        <v>163</v>
      </c>
      <c r="I2" s="79" t="s">
        <v>80</v>
      </c>
      <c r="J2" s="79" t="s">
        <v>102</v>
      </c>
    </row>
    <row r="3">
      <c r="B3" s="2" t="s">
        <v>4</v>
      </c>
      <c r="D3" s="2"/>
      <c r="F3" s="17" t="s">
        <v>63</v>
      </c>
      <c r="G3" s="2">
        <v>1468.0</v>
      </c>
      <c r="H3" s="17" t="s">
        <v>164</v>
      </c>
      <c r="I3" s="17"/>
      <c r="J3" s="2"/>
    </row>
    <row r="4">
      <c r="B4" s="2" t="s">
        <v>5</v>
      </c>
      <c r="D4" s="2">
        <v>21.0</v>
      </c>
      <c r="F4" s="17" t="s">
        <v>62</v>
      </c>
      <c r="G4" s="17">
        <f>3425-979</f>
        <v>2446</v>
      </c>
      <c r="H4" s="17"/>
      <c r="I4" s="17"/>
      <c r="J4" s="17"/>
    </row>
    <row r="5">
      <c r="B5" s="2" t="s">
        <v>6</v>
      </c>
      <c r="C5">
        <f>60</f>
        <v>60</v>
      </c>
      <c r="D5" s="4">
        <f>109+144+3+86+123</f>
        <v>465</v>
      </c>
      <c r="F5" s="17" t="s">
        <v>63</v>
      </c>
      <c r="G5" s="17">
        <v>979.0</v>
      </c>
      <c r="H5" s="80"/>
      <c r="I5" s="17"/>
      <c r="J5" s="17"/>
    </row>
    <row r="6">
      <c r="B6" s="2" t="s">
        <v>165</v>
      </c>
      <c r="C6">
        <f>25+35</f>
        <v>60</v>
      </c>
      <c r="D6" s="4"/>
      <c r="F6" s="17"/>
      <c r="G6" s="17">
        <f>sum(G5, G4, G3)</f>
        <v>4893</v>
      </c>
      <c r="H6" s="17" t="s">
        <v>166</v>
      </c>
      <c r="I6" s="17"/>
      <c r="J6" s="17"/>
    </row>
    <row r="7">
      <c r="A7" s="5" t="s">
        <v>10</v>
      </c>
      <c r="B7" s="6"/>
      <c r="C7" s="5">
        <f t="shared" ref="C7:D7" si="1">SUM(C2:C6)</f>
        <v>120</v>
      </c>
      <c r="D7" s="5">
        <f t="shared" si="1"/>
        <v>548</v>
      </c>
      <c r="E7" s="2"/>
      <c r="F7" s="17" t="s">
        <v>62</v>
      </c>
      <c r="G7" s="17">
        <v>1178.0</v>
      </c>
      <c r="H7" s="17"/>
      <c r="I7" s="17"/>
      <c r="J7" s="17"/>
    </row>
    <row r="8">
      <c r="A8" s="1" t="s">
        <v>7</v>
      </c>
      <c r="B8" s="2" t="s">
        <v>8</v>
      </c>
      <c r="D8" s="4"/>
      <c r="F8" s="17"/>
      <c r="G8" s="17"/>
      <c r="H8" s="17"/>
      <c r="I8" s="17"/>
      <c r="J8" s="17"/>
    </row>
    <row r="9">
      <c r="B9" s="2" t="s">
        <v>11</v>
      </c>
      <c r="C9" s="2"/>
      <c r="D9" s="2">
        <v>20.0</v>
      </c>
      <c r="F9" s="17"/>
      <c r="G9" s="17"/>
      <c r="H9" s="17"/>
      <c r="I9" s="17"/>
      <c r="J9" s="17"/>
    </row>
    <row r="10">
      <c r="B10" s="2" t="s">
        <v>12</v>
      </c>
      <c r="D10" s="2"/>
      <c r="E10" s="7"/>
      <c r="F10" s="17"/>
      <c r="G10" s="17"/>
      <c r="H10" s="17"/>
      <c r="I10" s="17"/>
      <c r="J10" s="17"/>
    </row>
    <row r="11">
      <c r="B11" s="2" t="s">
        <v>13</v>
      </c>
      <c r="D11" s="2"/>
      <c r="F11" s="17"/>
      <c r="G11" s="17"/>
      <c r="H11" s="17"/>
      <c r="I11" s="17"/>
      <c r="J11" s="17"/>
    </row>
    <row r="12">
      <c r="B12" s="2" t="s">
        <v>14</v>
      </c>
      <c r="C12" s="2"/>
      <c r="D12" s="2">
        <v>208.0</v>
      </c>
    </row>
    <row r="13">
      <c r="B13" s="2" t="s">
        <v>15</v>
      </c>
      <c r="C13" s="2"/>
      <c r="D13" s="2">
        <v>39.0</v>
      </c>
      <c r="G13" s="2"/>
      <c r="I13" s="81"/>
    </row>
    <row r="14">
      <c r="B14" s="2" t="s">
        <v>16</v>
      </c>
      <c r="C14" s="2"/>
      <c r="D14" s="2"/>
      <c r="G14" s="2"/>
      <c r="H14" s="2"/>
    </row>
    <row r="15">
      <c r="B15" s="2" t="s">
        <v>17</v>
      </c>
      <c r="C15" s="2"/>
      <c r="D15" s="2"/>
      <c r="G15" s="2"/>
      <c r="H15" s="2"/>
    </row>
    <row r="16">
      <c r="B16" s="2" t="s">
        <v>18</v>
      </c>
      <c r="C16" s="2"/>
      <c r="D16" s="2"/>
      <c r="G16" s="2"/>
      <c r="H16" s="2"/>
    </row>
    <row r="17">
      <c r="A17" s="5" t="s">
        <v>10</v>
      </c>
      <c r="B17" s="6"/>
      <c r="C17" s="5">
        <f t="shared" ref="C17:D17" si="2">SUM(C8:C16)</f>
        <v>0</v>
      </c>
      <c r="D17" s="82">
        <f t="shared" si="2"/>
        <v>267</v>
      </c>
      <c r="G17" s="2"/>
      <c r="H17" s="2"/>
    </row>
    <row r="18">
      <c r="A18" s="1" t="s">
        <v>19</v>
      </c>
      <c r="B18" s="2" t="s">
        <v>20</v>
      </c>
      <c r="D18" s="2"/>
      <c r="G18" s="2"/>
      <c r="H18" s="2"/>
    </row>
    <row r="19">
      <c r="B19" s="2" t="s">
        <v>21</v>
      </c>
      <c r="C19" s="2">
        <f>55</f>
        <v>55</v>
      </c>
      <c r="D19" s="2">
        <f>159+85</f>
        <v>244</v>
      </c>
      <c r="E19" s="2"/>
      <c r="G19" s="2"/>
      <c r="H19" s="2"/>
    </row>
    <row r="20">
      <c r="B20" s="2" t="s">
        <v>22</v>
      </c>
      <c r="G20" s="2"/>
      <c r="H20" s="2"/>
    </row>
    <row r="21">
      <c r="B21" s="2"/>
      <c r="D21" s="3"/>
      <c r="G21" s="2"/>
      <c r="H21" s="2"/>
    </row>
    <row r="22">
      <c r="B22" s="2" t="s">
        <v>24</v>
      </c>
      <c r="D22" s="2"/>
      <c r="E22" s="2"/>
      <c r="G22" s="2"/>
      <c r="H22" s="2"/>
    </row>
    <row r="23">
      <c r="B23" s="2" t="s">
        <v>26</v>
      </c>
      <c r="G23" s="2"/>
      <c r="H23" s="2"/>
    </row>
    <row r="24">
      <c r="A24" s="5" t="s">
        <v>10</v>
      </c>
      <c r="B24" s="5"/>
      <c r="C24" s="6">
        <f t="shared" ref="C24:D24" si="3">sum(C18:C23)</f>
        <v>55</v>
      </c>
      <c r="D24" s="6">
        <f t="shared" si="3"/>
        <v>244</v>
      </c>
    </row>
    <row r="25">
      <c r="A25" s="1" t="s">
        <v>23</v>
      </c>
      <c r="B25" s="2" t="s">
        <v>25</v>
      </c>
      <c r="C25" s="2">
        <f>107+2+23</f>
        <v>132</v>
      </c>
      <c r="D25" s="2"/>
    </row>
    <row r="26">
      <c r="B26" s="2" t="s">
        <v>27</v>
      </c>
      <c r="C26">
        <f>60</f>
        <v>60</v>
      </c>
      <c r="D26" s="2">
        <f>30+10</f>
        <v>40</v>
      </c>
    </row>
    <row r="27">
      <c r="B27" s="2" t="s">
        <v>28</v>
      </c>
      <c r="C27" s="2"/>
      <c r="D27" s="2">
        <v>19.0</v>
      </c>
    </row>
    <row r="28">
      <c r="B28" s="2" t="s">
        <v>29</v>
      </c>
      <c r="C28" s="9"/>
      <c r="D28" s="10"/>
    </row>
    <row r="29">
      <c r="A29" s="5" t="s">
        <v>10</v>
      </c>
      <c r="B29" s="5"/>
      <c r="C29" s="6">
        <f t="shared" ref="C29:D29" si="4">SUM(C25:C28)</f>
        <v>192</v>
      </c>
      <c r="D29" s="6">
        <f t="shared" si="4"/>
        <v>59</v>
      </c>
      <c r="G29" s="2" t="s">
        <v>30</v>
      </c>
    </row>
    <row r="30">
      <c r="A30" s="11" t="s">
        <v>10</v>
      </c>
    </row>
    <row r="31">
      <c r="A31" s="11" t="s">
        <v>31</v>
      </c>
      <c r="D31">
        <f>C7+C17+C24+C29</f>
        <v>367</v>
      </c>
    </row>
    <row r="32">
      <c r="A32" s="11" t="s">
        <v>32</v>
      </c>
      <c r="B32" s="13"/>
      <c r="C32" s="13"/>
      <c r="D32" s="83">
        <f>D7+D17+D24+D29</f>
        <v>1118</v>
      </c>
      <c r="L32" s="2">
        <v>-171.0</v>
      </c>
    </row>
    <row r="33">
      <c r="A33" s="11" t="s">
        <v>33</v>
      </c>
      <c r="B33" s="13"/>
      <c r="C33" s="13"/>
      <c r="D33" s="13">
        <f>(D32-D31)/2</f>
        <v>375.5</v>
      </c>
    </row>
    <row r="34">
      <c r="A34" s="2"/>
    </row>
    <row r="35">
      <c r="A35" s="2" t="s">
        <v>34</v>
      </c>
    </row>
    <row r="36">
      <c r="A36" s="1" t="s">
        <v>35</v>
      </c>
      <c r="B36" s="1" t="s">
        <v>36</v>
      </c>
      <c r="E36" s="1" t="s">
        <v>37</v>
      </c>
      <c r="F36" s="1" t="s">
        <v>36</v>
      </c>
      <c r="H36" s="15" t="s">
        <v>38</v>
      </c>
      <c r="I36" s="16">
        <f>B43-F43</f>
        <v>-68.5</v>
      </c>
    </row>
    <row r="37">
      <c r="A37" s="17" t="s">
        <v>39</v>
      </c>
      <c r="B37" s="20">
        <f>D33</f>
        <v>375.5</v>
      </c>
      <c r="E37" s="17" t="s">
        <v>167</v>
      </c>
      <c r="F37" s="16"/>
    </row>
    <row r="38">
      <c r="A38" s="17" t="s">
        <v>41</v>
      </c>
      <c r="B38" s="17">
        <v>-63.0</v>
      </c>
      <c r="E38" s="19" t="s">
        <v>168</v>
      </c>
      <c r="F38" s="17">
        <v>500.0</v>
      </c>
      <c r="H38" s="3" t="s">
        <v>42</v>
      </c>
    </row>
    <row r="39">
      <c r="A39" s="17" t="s">
        <v>43</v>
      </c>
      <c r="B39" s="17">
        <v>115.0</v>
      </c>
      <c r="E39" s="17" t="s">
        <v>165</v>
      </c>
      <c r="F39" s="16">
        <v>6.0</v>
      </c>
      <c r="G39" s="2"/>
      <c r="H39" s="15" t="s">
        <v>44</v>
      </c>
      <c r="I39" s="20">
        <f>D17/2</f>
        <v>133.5</v>
      </c>
    </row>
    <row r="40">
      <c r="A40" s="17"/>
      <c r="B40" s="17">
        <v>10.0</v>
      </c>
      <c r="E40" s="17"/>
      <c r="F40" s="16"/>
      <c r="H40" s="15" t="s">
        <v>45</v>
      </c>
      <c r="I40" s="20">
        <f>D7/2</f>
        <v>274</v>
      </c>
    </row>
    <row r="41">
      <c r="A41" s="17"/>
      <c r="B41" s="17"/>
      <c r="E41" s="20"/>
      <c r="F41" s="17"/>
      <c r="H41" s="15" t="s">
        <v>46</v>
      </c>
      <c r="I41" s="20">
        <f>D24/2</f>
        <v>122</v>
      </c>
    </row>
    <row r="42">
      <c r="A42" s="17"/>
      <c r="B42" s="21"/>
      <c r="E42" s="17"/>
      <c r="F42" s="17"/>
      <c r="H42" s="15" t="s">
        <v>47</v>
      </c>
      <c r="I42" s="20">
        <f>D29/2</f>
        <v>29.5</v>
      </c>
    </row>
    <row r="43">
      <c r="A43" s="17" t="s">
        <v>10</v>
      </c>
      <c r="B43" s="17">
        <f>sum(B37:B42)</f>
        <v>437.5</v>
      </c>
      <c r="E43" s="17" t="s">
        <v>10</v>
      </c>
      <c r="F43" s="18">
        <f>sum(F37:F42)</f>
        <v>506</v>
      </c>
      <c r="H43" s="15" t="s">
        <v>48</v>
      </c>
      <c r="I43" s="20">
        <f>sum(I39:I42)</f>
        <v>559</v>
      </c>
    </row>
  </sheetData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25"/>
  </cols>
  <sheetData>
    <row r="1">
      <c r="C1" s="1" t="s">
        <v>0</v>
      </c>
      <c r="D1" s="1" t="s">
        <v>1</v>
      </c>
      <c r="F1" s="1" t="s">
        <v>161</v>
      </c>
      <c r="G1" s="2"/>
    </row>
    <row r="2">
      <c r="A2" s="1" t="s">
        <v>2</v>
      </c>
      <c r="B2" s="2" t="s">
        <v>3</v>
      </c>
      <c r="C2" s="2">
        <f>3+20</f>
        <v>23</v>
      </c>
      <c r="D2" s="3">
        <f>28+7+4+14+3</f>
        <v>56</v>
      </c>
      <c r="F2" s="79" t="s">
        <v>162</v>
      </c>
      <c r="G2" s="79" t="s">
        <v>103</v>
      </c>
      <c r="H2" s="79" t="s">
        <v>163</v>
      </c>
      <c r="I2" s="79" t="s">
        <v>80</v>
      </c>
      <c r="J2" s="79" t="s">
        <v>102</v>
      </c>
    </row>
    <row r="3">
      <c r="B3" s="2" t="s">
        <v>4</v>
      </c>
      <c r="D3" s="2">
        <v>34.0</v>
      </c>
      <c r="F3" s="17" t="s">
        <v>63</v>
      </c>
      <c r="G3" s="2">
        <v>1468.0</v>
      </c>
      <c r="H3" s="17" t="s">
        <v>164</v>
      </c>
      <c r="I3" s="17"/>
      <c r="J3" s="2"/>
    </row>
    <row r="4">
      <c r="B4" s="2" t="s">
        <v>5</v>
      </c>
      <c r="D4" s="2"/>
      <c r="F4" s="17" t="s">
        <v>62</v>
      </c>
      <c r="G4" s="17">
        <f>3425-979</f>
        <v>2446</v>
      </c>
      <c r="H4" s="17"/>
      <c r="I4" s="17"/>
      <c r="J4" s="17"/>
    </row>
    <row r="5">
      <c r="B5" s="2" t="s">
        <v>6</v>
      </c>
      <c r="C5">
        <f>14+24</f>
        <v>38</v>
      </c>
      <c r="D5" s="4">
        <f>21+135+103+135+119</f>
        <v>513</v>
      </c>
      <c r="F5" s="17" t="s">
        <v>63</v>
      </c>
      <c r="G5" s="17">
        <v>979.0</v>
      </c>
      <c r="H5" s="80"/>
      <c r="I5" s="17"/>
      <c r="J5" s="17"/>
    </row>
    <row r="6">
      <c r="B6" s="2" t="s">
        <v>165</v>
      </c>
      <c r="C6">
        <f>24</f>
        <v>24</v>
      </c>
      <c r="D6" s="4">
        <f>32+26</f>
        <v>58</v>
      </c>
      <c r="F6" s="17"/>
      <c r="G6" s="17">
        <f>sum(G5, G4, G3)</f>
        <v>4893</v>
      </c>
      <c r="H6" s="17" t="s">
        <v>166</v>
      </c>
      <c r="I6" s="17"/>
      <c r="J6" s="17"/>
    </row>
    <row r="7">
      <c r="A7" s="5" t="s">
        <v>10</v>
      </c>
      <c r="B7" s="6"/>
      <c r="C7" s="5">
        <f t="shared" ref="C7:D7" si="1">SUM(C2:C6)</f>
        <v>85</v>
      </c>
      <c r="D7" s="5">
        <f t="shared" si="1"/>
        <v>661</v>
      </c>
      <c r="E7" s="2"/>
      <c r="F7" s="17" t="s">
        <v>62</v>
      </c>
      <c r="G7" s="17">
        <v>1178.0</v>
      </c>
      <c r="H7" s="17"/>
      <c r="I7" s="17"/>
      <c r="J7" s="17"/>
    </row>
    <row r="8">
      <c r="A8" s="1" t="s">
        <v>7</v>
      </c>
      <c r="B8" s="2" t="s">
        <v>8</v>
      </c>
      <c r="D8" s="4"/>
      <c r="F8" s="17"/>
      <c r="G8" s="17"/>
      <c r="H8" s="17"/>
      <c r="I8" s="17"/>
      <c r="J8" s="17"/>
    </row>
    <row r="9">
      <c r="B9" s="2" t="s">
        <v>11</v>
      </c>
      <c r="C9" s="2"/>
      <c r="D9" s="2">
        <v>20.0</v>
      </c>
      <c r="F9" s="17"/>
      <c r="G9" s="17"/>
      <c r="H9" s="17"/>
      <c r="I9" s="17"/>
      <c r="J9" s="17"/>
    </row>
    <row r="10">
      <c r="B10" s="2" t="s">
        <v>12</v>
      </c>
      <c r="D10" s="2"/>
      <c r="E10" s="7"/>
      <c r="F10" s="17"/>
      <c r="G10" s="17"/>
      <c r="H10" s="17"/>
      <c r="I10" s="17"/>
      <c r="J10" s="17"/>
    </row>
    <row r="11">
      <c r="B11" s="2" t="s">
        <v>13</v>
      </c>
      <c r="D11" s="2"/>
      <c r="F11" s="17"/>
      <c r="G11" s="17"/>
      <c r="H11" s="17"/>
      <c r="I11" s="17"/>
      <c r="J11" s="17"/>
    </row>
    <row r="12">
      <c r="B12" s="2" t="s">
        <v>14</v>
      </c>
      <c r="C12" s="2"/>
      <c r="D12" s="2">
        <v>208.0</v>
      </c>
    </row>
    <row r="13">
      <c r="B13" s="2" t="s">
        <v>15</v>
      </c>
      <c r="C13" s="2"/>
      <c r="D13" s="2">
        <v>19.0</v>
      </c>
      <c r="G13" s="2"/>
      <c r="I13" s="81"/>
    </row>
    <row r="14">
      <c r="B14" s="2" t="s">
        <v>16</v>
      </c>
      <c r="C14" s="2"/>
      <c r="D14" s="2"/>
      <c r="G14" s="2"/>
      <c r="H14" s="2"/>
    </row>
    <row r="15">
      <c r="B15" s="2" t="s">
        <v>17</v>
      </c>
      <c r="C15" s="2">
        <f>77</f>
        <v>77</v>
      </c>
      <c r="D15" s="2"/>
      <c r="G15" s="2"/>
      <c r="H15" s="2"/>
    </row>
    <row r="16">
      <c r="B16" s="2" t="s">
        <v>18</v>
      </c>
      <c r="C16" s="2"/>
      <c r="D16" s="2"/>
      <c r="G16" s="2"/>
      <c r="H16" s="2"/>
    </row>
    <row r="17">
      <c r="A17" s="5" t="s">
        <v>10</v>
      </c>
      <c r="B17" s="6"/>
      <c r="C17" s="5">
        <f t="shared" ref="C17:D17" si="2">SUM(C8:C16)</f>
        <v>77</v>
      </c>
      <c r="D17" s="82">
        <f t="shared" si="2"/>
        <v>247</v>
      </c>
      <c r="G17" s="2"/>
      <c r="H17" s="2"/>
    </row>
    <row r="18">
      <c r="A18" s="1" t="s">
        <v>19</v>
      </c>
      <c r="B18" s="2" t="s">
        <v>20</v>
      </c>
      <c r="C18">
        <f>20</f>
        <v>20</v>
      </c>
      <c r="D18" s="2"/>
      <c r="G18" s="2"/>
      <c r="H18" s="2"/>
    </row>
    <row r="19">
      <c r="B19" s="2" t="s">
        <v>21</v>
      </c>
      <c r="C19" s="2"/>
      <c r="D19" s="2"/>
      <c r="E19" s="2"/>
      <c r="G19" s="2"/>
      <c r="H19" s="2"/>
    </row>
    <row r="20">
      <c r="B20" s="2" t="s">
        <v>22</v>
      </c>
      <c r="G20" s="2"/>
      <c r="H20" s="2"/>
    </row>
    <row r="21">
      <c r="B21" s="2"/>
      <c r="D21" s="3"/>
      <c r="G21" s="2"/>
      <c r="H21" s="2"/>
    </row>
    <row r="22">
      <c r="B22" s="2" t="s">
        <v>24</v>
      </c>
      <c r="D22" s="2">
        <f>35+2</f>
        <v>37</v>
      </c>
      <c r="E22" s="2"/>
      <c r="G22" s="2"/>
      <c r="H22" s="2"/>
    </row>
    <row r="23">
      <c r="B23" s="2" t="s">
        <v>26</v>
      </c>
      <c r="G23" s="2"/>
      <c r="H23" s="2"/>
    </row>
    <row r="24">
      <c r="A24" s="5" t="s">
        <v>10</v>
      </c>
      <c r="B24" s="5"/>
      <c r="C24" s="6">
        <f t="shared" ref="C24:D24" si="3">sum(C18:C23)</f>
        <v>20</v>
      </c>
      <c r="D24" s="6">
        <f t="shared" si="3"/>
        <v>37</v>
      </c>
    </row>
    <row r="25">
      <c r="A25" s="1" t="s">
        <v>23</v>
      </c>
      <c r="B25" s="2" t="s">
        <v>25</v>
      </c>
      <c r="C25" s="2"/>
      <c r="D25" s="2"/>
    </row>
    <row r="26">
      <c r="B26" s="2" t="s">
        <v>27</v>
      </c>
      <c r="D26" s="2">
        <v>40.0</v>
      </c>
    </row>
    <row r="27">
      <c r="B27" s="2" t="s">
        <v>28</v>
      </c>
      <c r="C27" s="2">
        <f>21+19+234</f>
        <v>274</v>
      </c>
      <c r="D27" s="2">
        <v>9.0</v>
      </c>
      <c r="L27" s="2">
        <v>-467.0</v>
      </c>
    </row>
    <row r="28">
      <c r="B28" s="2" t="s">
        <v>29</v>
      </c>
      <c r="C28" s="9"/>
      <c r="D28" s="10"/>
    </row>
    <row r="29">
      <c r="A29" s="5" t="s">
        <v>10</v>
      </c>
      <c r="B29" s="5"/>
      <c r="C29" s="6">
        <f t="shared" ref="C29:D29" si="4">SUM(C25:C28)</f>
        <v>274</v>
      </c>
      <c r="D29" s="6">
        <f t="shared" si="4"/>
        <v>49</v>
      </c>
      <c r="G29" s="2" t="s">
        <v>30</v>
      </c>
    </row>
    <row r="30">
      <c r="A30" s="11" t="s">
        <v>10</v>
      </c>
    </row>
    <row r="31">
      <c r="A31" s="11" t="s">
        <v>31</v>
      </c>
      <c r="D31">
        <f>C7+C17+C24+C29</f>
        <v>456</v>
      </c>
    </row>
    <row r="32">
      <c r="A32" s="11" t="s">
        <v>32</v>
      </c>
      <c r="B32" s="13"/>
      <c r="C32" s="13"/>
      <c r="D32" s="83">
        <f>D7+D17+D24+D29</f>
        <v>994</v>
      </c>
    </row>
    <row r="33">
      <c r="A33" s="11" t="s">
        <v>33</v>
      </c>
      <c r="B33" s="13"/>
      <c r="C33" s="13"/>
      <c r="D33" s="13">
        <f>(D32-D31)/2</f>
        <v>269</v>
      </c>
    </row>
    <row r="34">
      <c r="A34" s="2"/>
    </row>
    <row r="35">
      <c r="A35" s="2" t="s">
        <v>34</v>
      </c>
    </row>
    <row r="36">
      <c r="A36" s="1" t="s">
        <v>35</v>
      </c>
      <c r="B36" s="1" t="s">
        <v>36</v>
      </c>
      <c r="E36" s="1" t="s">
        <v>37</v>
      </c>
      <c r="F36" s="1" t="s">
        <v>36</v>
      </c>
      <c r="H36" s="15" t="s">
        <v>38</v>
      </c>
      <c r="I36" s="16">
        <f>B43-F43</f>
        <v>-348</v>
      </c>
    </row>
    <row r="37">
      <c r="A37" s="17" t="s">
        <v>39</v>
      </c>
      <c r="B37" s="20">
        <f>D33</f>
        <v>269</v>
      </c>
      <c r="E37" s="17" t="s">
        <v>167</v>
      </c>
      <c r="F37" s="16"/>
    </row>
    <row r="38">
      <c r="A38" s="17" t="s">
        <v>41</v>
      </c>
      <c r="B38" s="17">
        <v>-69.0</v>
      </c>
      <c r="E38" s="19" t="s">
        <v>168</v>
      </c>
      <c r="F38" s="17">
        <v>600.0</v>
      </c>
      <c r="H38" s="3" t="s">
        <v>42</v>
      </c>
    </row>
    <row r="39">
      <c r="A39" s="17" t="s">
        <v>43</v>
      </c>
      <c r="B39" s="17">
        <v>115.0</v>
      </c>
      <c r="E39" s="17" t="s">
        <v>169</v>
      </c>
      <c r="F39" s="16">
        <v>63.0</v>
      </c>
      <c r="G39" s="2"/>
      <c r="H39" s="15" t="s">
        <v>44</v>
      </c>
      <c r="I39" s="20">
        <f>D17/2</f>
        <v>123.5</v>
      </c>
    </row>
    <row r="40">
      <c r="A40" s="17"/>
      <c r="B40" s="17"/>
      <c r="E40" s="17"/>
      <c r="F40" s="16"/>
      <c r="H40" s="15" t="s">
        <v>45</v>
      </c>
      <c r="I40" s="20">
        <f>D7/2</f>
        <v>330.5</v>
      </c>
    </row>
    <row r="41">
      <c r="A41" s="17"/>
      <c r="B41" s="17"/>
      <c r="E41" s="20"/>
      <c r="F41" s="17"/>
      <c r="H41" s="15" t="s">
        <v>46</v>
      </c>
      <c r="I41" s="20">
        <f>D24/2</f>
        <v>18.5</v>
      </c>
    </row>
    <row r="42">
      <c r="A42" s="17"/>
      <c r="B42" s="21"/>
      <c r="E42" s="17"/>
      <c r="F42" s="17"/>
      <c r="H42" s="15" t="s">
        <v>47</v>
      </c>
      <c r="I42" s="20">
        <f>D29/2</f>
        <v>24.5</v>
      </c>
    </row>
    <row r="43">
      <c r="A43" s="17" t="s">
        <v>10</v>
      </c>
      <c r="B43" s="17">
        <f>sum(B37:B42)</f>
        <v>315</v>
      </c>
      <c r="E43" s="17" t="s">
        <v>10</v>
      </c>
      <c r="F43" s="18">
        <f>sum(F37:F42)</f>
        <v>663</v>
      </c>
      <c r="H43" s="15" t="s">
        <v>48</v>
      </c>
      <c r="I43" s="20">
        <f>sum(I39:I42)</f>
        <v>497</v>
      </c>
    </row>
  </sheetData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25"/>
  </cols>
  <sheetData>
    <row r="1">
      <c r="C1" s="1" t="s">
        <v>0</v>
      </c>
      <c r="D1" s="1" t="s">
        <v>1</v>
      </c>
      <c r="F1" s="1" t="s">
        <v>161</v>
      </c>
      <c r="G1" s="2"/>
    </row>
    <row r="2">
      <c r="A2" s="1" t="s">
        <v>2</v>
      </c>
      <c r="B2" s="2" t="s">
        <v>3</v>
      </c>
      <c r="C2" s="2">
        <f>3+3</f>
        <v>6</v>
      </c>
      <c r="D2" s="3">
        <f>18+5+D514+8+11+6+6+3+4+30</f>
        <v>91</v>
      </c>
      <c r="F2" s="79" t="s">
        <v>162</v>
      </c>
      <c r="G2" s="79" t="s">
        <v>103</v>
      </c>
      <c r="H2" s="79" t="s">
        <v>163</v>
      </c>
      <c r="I2" s="79" t="s">
        <v>80</v>
      </c>
      <c r="J2" s="79" t="s">
        <v>102</v>
      </c>
    </row>
    <row r="3">
      <c r="B3" s="2" t="s">
        <v>4</v>
      </c>
      <c r="D3" s="2"/>
      <c r="F3" s="17" t="s">
        <v>63</v>
      </c>
      <c r="G3" s="2">
        <v>1468.0</v>
      </c>
      <c r="H3" s="17" t="s">
        <v>164</v>
      </c>
      <c r="I3" s="17"/>
      <c r="J3" s="2"/>
    </row>
    <row r="4">
      <c r="B4" s="2" t="s">
        <v>5</v>
      </c>
      <c r="D4" s="2">
        <v>20.0</v>
      </c>
      <c r="F4" s="17" t="s">
        <v>62</v>
      </c>
      <c r="G4" s="17">
        <f>3425-979</f>
        <v>2446</v>
      </c>
      <c r="H4" s="17"/>
      <c r="I4" s="17"/>
      <c r="J4" s="17"/>
    </row>
    <row r="5">
      <c r="B5" s="2" t="s">
        <v>6</v>
      </c>
      <c r="C5">
        <f>5</f>
        <v>5</v>
      </c>
      <c r="D5" s="4">
        <f>123+183+107+53</f>
        <v>466</v>
      </c>
      <c r="F5" s="17" t="s">
        <v>63</v>
      </c>
      <c r="G5" s="17">
        <v>979.0</v>
      </c>
      <c r="H5" s="80"/>
      <c r="I5" s="17"/>
      <c r="J5" s="17"/>
    </row>
    <row r="6">
      <c r="B6" s="2" t="s">
        <v>165</v>
      </c>
      <c r="D6" s="4">
        <f>30+23+28</f>
        <v>81</v>
      </c>
      <c r="F6" s="17"/>
      <c r="G6" s="17">
        <f>sum(G5, G4, G3)</f>
        <v>4893</v>
      </c>
      <c r="H6" s="17" t="s">
        <v>166</v>
      </c>
      <c r="I6" s="17"/>
      <c r="J6" s="17"/>
    </row>
    <row r="7">
      <c r="A7" s="5" t="s">
        <v>10</v>
      </c>
      <c r="B7" s="6"/>
      <c r="C7" s="5">
        <f t="shared" ref="C7:D7" si="1">SUM(C2:C6)</f>
        <v>11</v>
      </c>
      <c r="D7" s="5">
        <f t="shared" si="1"/>
        <v>658</v>
      </c>
      <c r="E7" s="2"/>
      <c r="F7" s="17" t="s">
        <v>62</v>
      </c>
      <c r="G7" s="17">
        <v>1178.0</v>
      </c>
      <c r="H7" s="17"/>
      <c r="I7" s="17"/>
      <c r="J7" s="17"/>
    </row>
    <row r="8">
      <c r="A8" s="1" t="s">
        <v>7</v>
      </c>
      <c r="B8" s="2" t="s">
        <v>8</v>
      </c>
      <c r="D8" s="4"/>
      <c r="F8" s="17"/>
      <c r="G8" s="17"/>
      <c r="H8" s="17"/>
      <c r="I8" s="17"/>
      <c r="J8" s="17"/>
    </row>
    <row r="9">
      <c r="B9" s="2" t="s">
        <v>11</v>
      </c>
      <c r="C9" s="2"/>
      <c r="D9" s="2">
        <v>20.0</v>
      </c>
      <c r="F9" s="17"/>
      <c r="G9" s="17"/>
      <c r="H9" s="17"/>
      <c r="I9" s="17"/>
      <c r="J9" s="17"/>
    </row>
    <row r="10">
      <c r="B10" s="2" t="s">
        <v>12</v>
      </c>
      <c r="D10" s="2"/>
      <c r="E10" s="7"/>
      <c r="F10" s="17"/>
      <c r="G10" s="17"/>
      <c r="H10" s="17"/>
      <c r="I10" s="17"/>
      <c r="J10" s="17"/>
    </row>
    <row r="11">
      <c r="B11" s="2" t="s">
        <v>13</v>
      </c>
      <c r="D11" s="2"/>
      <c r="F11" s="17"/>
      <c r="G11" s="17"/>
      <c r="H11" s="17"/>
      <c r="I11" s="17"/>
      <c r="J11" s="17"/>
    </row>
    <row r="12">
      <c r="B12" s="2" t="s">
        <v>14</v>
      </c>
      <c r="C12" s="2"/>
      <c r="D12" s="2">
        <v>516.0</v>
      </c>
    </row>
    <row r="13">
      <c r="B13" s="2" t="s">
        <v>15</v>
      </c>
      <c r="C13" s="2"/>
      <c r="D13" s="2">
        <v>34.0</v>
      </c>
      <c r="G13" s="2"/>
      <c r="I13" s="81"/>
    </row>
    <row r="14">
      <c r="B14" s="2" t="s">
        <v>16</v>
      </c>
      <c r="C14" s="2"/>
      <c r="D14" s="2"/>
      <c r="G14" s="2"/>
      <c r="H14" s="2"/>
    </row>
    <row r="15">
      <c r="B15" s="2" t="s">
        <v>17</v>
      </c>
      <c r="C15" s="2"/>
      <c r="D15" s="2"/>
      <c r="G15" s="2"/>
      <c r="H15" s="2"/>
    </row>
    <row r="16">
      <c r="B16" s="2" t="s">
        <v>18</v>
      </c>
      <c r="C16" s="2"/>
      <c r="D16" s="2"/>
      <c r="G16" s="2"/>
      <c r="H16" s="2"/>
    </row>
    <row r="17">
      <c r="A17" s="5" t="s">
        <v>10</v>
      </c>
      <c r="B17" s="6"/>
      <c r="C17" s="5">
        <f t="shared" ref="C17:D17" si="2">SUM(C8:C16)</f>
        <v>0</v>
      </c>
      <c r="D17" s="82">
        <f t="shared" si="2"/>
        <v>570</v>
      </c>
      <c r="G17" s="2"/>
      <c r="H17" s="2"/>
    </row>
    <row r="18">
      <c r="A18" s="1" t="s">
        <v>19</v>
      </c>
      <c r="B18" s="2" t="s">
        <v>20</v>
      </c>
      <c r="C18">
        <f>25+41</f>
        <v>66</v>
      </c>
      <c r="D18" s="2"/>
      <c r="G18" s="2"/>
      <c r="H18" s="2"/>
    </row>
    <row r="19">
      <c r="B19" s="2" t="s">
        <v>21</v>
      </c>
      <c r="C19" s="2"/>
      <c r="D19" s="2"/>
      <c r="E19" s="2"/>
      <c r="G19" s="2"/>
      <c r="H19" s="2"/>
    </row>
    <row r="20">
      <c r="B20" s="2" t="s">
        <v>22</v>
      </c>
      <c r="G20" s="2"/>
      <c r="H20" s="2"/>
    </row>
    <row r="21">
      <c r="B21" s="2"/>
      <c r="D21" s="3"/>
      <c r="G21" s="2"/>
      <c r="H21" s="2"/>
    </row>
    <row r="22">
      <c r="B22" s="2" t="s">
        <v>24</v>
      </c>
      <c r="D22" s="2"/>
      <c r="E22" s="2"/>
      <c r="G22" s="2"/>
      <c r="H22" s="2"/>
    </row>
    <row r="23">
      <c r="B23" s="2" t="s">
        <v>26</v>
      </c>
      <c r="G23" s="2"/>
      <c r="H23" s="2"/>
    </row>
    <row r="24">
      <c r="A24" s="5" t="s">
        <v>10</v>
      </c>
      <c r="B24" s="5"/>
      <c r="C24" s="6">
        <f t="shared" ref="C24:D24" si="3">sum(C18:C23)</f>
        <v>66</v>
      </c>
      <c r="D24" s="6">
        <f t="shared" si="3"/>
        <v>0</v>
      </c>
    </row>
    <row r="25">
      <c r="A25" s="1" t="s">
        <v>23</v>
      </c>
      <c r="B25" s="2" t="s">
        <v>25</v>
      </c>
      <c r="C25" s="2"/>
      <c r="D25" s="2"/>
    </row>
    <row r="26">
      <c r="B26" s="2" t="s">
        <v>27</v>
      </c>
      <c r="D26" s="2">
        <v>75.0</v>
      </c>
    </row>
    <row r="27">
      <c r="B27" s="2" t="s">
        <v>28</v>
      </c>
      <c r="C27" s="2"/>
      <c r="D27" s="2">
        <f>31+35+20</f>
        <v>86</v>
      </c>
      <c r="J27" s="2">
        <v>-115.0</v>
      </c>
    </row>
    <row r="28">
      <c r="B28" s="2" t="s">
        <v>29</v>
      </c>
      <c r="C28" s="9"/>
      <c r="D28" s="10"/>
    </row>
    <row r="29">
      <c r="A29" s="5" t="s">
        <v>10</v>
      </c>
      <c r="B29" s="5"/>
      <c r="C29" s="6">
        <f t="shared" ref="C29:D29" si="4">SUM(C25:C28)</f>
        <v>0</v>
      </c>
      <c r="D29" s="6">
        <f t="shared" si="4"/>
        <v>161</v>
      </c>
      <c r="G29" s="2" t="s">
        <v>30</v>
      </c>
    </row>
    <row r="30">
      <c r="A30" s="11" t="s">
        <v>10</v>
      </c>
    </row>
    <row r="31">
      <c r="A31" s="11" t="s">
        <v>31</v>
      </c>
      <c r="D31">
        <f>C7+C17+C24+C29</f>
        <v>77</v>
      </c>
    </row>
    <row r="32">
      <c r="A32" s="11" t="s">
        <v>32</v>
      </c>
      <c r="B32" s="13"/>
      <c r="C32" s="13"/>
      <c r="D32" s="83">
        <f>D7+D17+D24+D29</f>
        <v>1389</v>
      </c>
    </row>
    <row r="33">
      <c r="A33" s="11" t="s">
        <v>33</v>
      </c>
      <c r="B33" s="13"/>
      <c r="C33" s="13"/>
      <c r="D33" s="13">
        <f>(D32-D31)/2</f>
        <v>656</v>
      </c>
    </row>
    <row r="34">
      <c r="A34" s="14"/>
    </row>
    <row r="35">
      <c r="A35" s="2" t="s">
        <v>34</v>
      </c>
    </row>
    <row r="36">
      <c r="A36" s="1" t="s">
        <v>35</v>
      </c>
      <c r="B36" s="1" t="s">
        <v>36</v>
      </c>
      <c r="E36" s="1" t="s">
        <v>37</v>
      </c>
      <c r="F36" s="1" t="s">
        <v>36</v>
      </c>
      <c r="H36" s="15" t="s">
        <v>38</v>
      </c>
      <c r="I36" s="16">
        <f>B43-F43</f>
        <v>4</v>
      </c>
    </row>
    <row r="37">
      <c r="A37" s="17" t="s">
        <v>39</v>
      </c>
      <c r="B37" s="20">
        <f>D33</f>
        <v>656</v>
      </c>
      <c r="E37" s="17" t="s">
        <v>167</v>
      </c>
      <c r="F37" s="16"/>
    </row>
    <row r="38">
      <c r="A38" s="17" t="s">
        <v>41</v>
      </c>
      <c r="B38" s="17">
        <v>-348.0</v>
      </c>
      <c r="E38" s="19" t="s">
        <v>168</v>
      </c>
      <c r="F38" s="17">
        <f>400</f>
        <v>400</v>
      </c>
      <c r="H38" s="3" t="s">
        <v>42</v>
      </c>
    </row>
    <row r="39">
      <c r="A39" s="17" t="s">
        <v>43</v>
      </c>
      <c r="B39" s="17">
        <v>115.0</v>
      </c>
      <c r="E39" s="17" t="s">
        <v>170</v>
      </c>
      <c r="F39" s="16">
        <f>19</f>
        <v>19</v>
      </c>
      <c r="G39" s="2"/>
      <c r="H39" s="15" t="s">
        <v>44</v>
      </c>
      <c r="I39" s="20">
        <f>D17/2</f>
        <v>285</v>
      </c>
    </row>
    <row r="40">
      <c r="A40" s="17"/>
      <c r="B40" s="17"/>
      <c r="E40" s="17"/>
      <c r="F40" s="16"/>
      <c r="H40" s="15" t="s">
        <v>45</v>
      </c>
      <c r="I40" s="20">
        <f>D7/2</f>
        <v>329</v>
      </c>
    </row>
    <row r="41">
      <c r="A41" s="17"/>
      <c r="B41" s="17"/>
      <c r="E41" s="20"/>
      <c r="F41" s="17"/>
      <c r="H41" s="15" t="s">
        <v>46</v>
      </c>
      <c r="I41" s="20">
        <f>D24/2</f>
        <v>0</v>
      </c>
    </row>
    <row r="42">
      <c r="A42" s="17"/>
      <c r="B42" s="21"/>
      <c r="E42" s="17"/>
      <c r="F42" s="17"/>
      <c r="H42" s="15" t="s">
        <v>47</v>
      </c>
      <c r="I42" s="20">
        <f>D29/2</f>
        <v>80.5</v>
      </c>
    </row>
    <row r="43">
      <c r="A43" s="17" t="s">
        <v>10</v>
      </c>
      <c r="B43" s="17">
        <f>sum(B37:B42)</f>
        <v>423</v>
      </c>
      <c r="E43" s="17" t="s">
        <v>10</v>
      </c>
      <c r="F43" s="18">
        <f>sum(F37:F42)</f>
        <v>419</v>
      </c>
      <c r="H43" s="15" t="s">
        <v>48</v>
      </c>
      <c r="I43" s="20">
        <f>sum(I39:I42)</f>
        <v>694.5</v>
      </c>
    </row>
    <row r="51">
      <c r="B51" s="84"/>
      <c r="C51" s="85">
        <v>63.0</v>
      </c>
      <c r="D51" s="84"/>
    </row>
    <row r="52">
      <c r="B52" s="85">
        <v>21.0</v>
      </c>
      <c r="C52" s="84"/>
      <c r="D52" s="84"/>
    </row>
    <row r="53">
      <c r="B53" s="84"/>
      <c r="C53" s="86">
        <v>10.0</v>
      </c>
      <c r="D53" s="84"/>
    </row>
    <row r="54">
      <c r="B54" s="84"/>
      <c r="C54" s="86">
        <v>22.0</v>
      </c>
      <c r="D54" s="84"/>
    </row>
    <row r="55">
      <c r="B55" s="86">
        <v>27.0</v>
      </c>
      <c r="C55" s="84"/>
      <c r="D55" s="84"/>
    </row>
    <row r="56">
      <c r="B56" s="84"/>
      <c r="C56" s="86">
        <v>47.0</v>
      </c>
      <c r="D56" s="84"/>
    </row>
    <row r="57">
      <c r="B57" s="84"/>
      <c r="C57" s="86">
        <v>50.0</v>
      </c>
      <c r="D57" s="84"/>
    </row>
    <row r="58">
      <c r="B58" s="84"/>
      <c r="C58" s="86">
        <v>23.0</v>
      </c>
      <c r="D58" s="84"/>
    </row>
    <row r="59">
      <c r="B59" s="86">
        <v>22.0</v>
      </c>
      <c r="C59" s="86">
        <v>15.0</v>
      </c>
      <c r="D59" s="84"/>
    </row>
    <row r="60">
      <c r="B60" s="84"/>
      <c r="C60" s="86">
        <v>42.0</v>
      </c>
      <c r="D60" s="84"/>
    </row>
    <row r="61">
      <c r="B61" s="86">
        <v>24.0</v>
      </c>
      <c r="C61" s="84"/>
      <c r="D61" s="84"/>
    </row>
    <row r="62">
      <c r="B62" s="84"/>
      <c r="C62" s="86">
        <v>48.0</v>
      </c>
      <c r="D62" s="84"/>
    </row>
    <row r="63">
      <c r="B63" s="84"/>
      <c r="C63" s="86">
        <v>47.0</v>
      </c>
      <c r="D63" s="84"/>
    </row>
    <row r="64">
      <c r="B64" s="84"/>
      <c r="C64" s="86">
        <v>34.0</v>
      </c>
      <c r="D64" s="84"/>
    </row>
    <row r="65">
      <c r="B65" s="84"/>
      <c r="C65" s="86">
        <v>70.0</v>
      </c>
      <c r="D65" s="84"/>
    </row>
    <row r="66">
      <c r="A66" s="13"/>
      <c r="B66" s="86">
        <v>60.0</v>
      </c>
      <c r="C66" s="84"/>
      <c r="D66" s="84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B67" s="86">
        <v>24.0</v>
      </c>
      <c r="C67" s="86">
        <v>58.0</v>
      </c>
      <c r="D67" s="84"/>
    </row>
    <row r="68">
      <c r="B68" s="86">
        <v>178.0</v>
      </c>
      <c r="C68" s="86">
        <v>529.0</v>
      </c>
      <c r="D68" s="86">
        <f>B68+C68</f>
        <v>707</v>
      </c>
    </row>
    <row r="69">
      <c r="D69">
        <f>D68/2</f>
        <v>353.5</v>
      </c>
    </row>
    <row r="70">
      <c r="D70">
        <f>D69-B68</f>
        <v>175.5</v>
      </c>
    </row>
  </sheetData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25"/>
  </cols>
  <sheetData>
    <row r="1">
      <c r="C1" s="1" t="s">
        <v>0</v>
      </c>
      <c r="D1" s="1" t="s">
        <v>1</v>
      </c>
      <c r="F1" s="1" t="s">
        <v>161</v>
      </c>
      <c r="G1" s="2"/>
    </row>
    <row r="2">
      <c r="A2" s="1" t="s">
        <v>2</v>
      </c>
      <c r="B2" s="2" t="s">
        <v>3</v>
      </c>
      <c r="C2" s="2"/>
      <c r="D2" s="3">
        <f>35+8+12+37+47+8+7+22</f>
        <v>176</v>
      </c>
      <c r="F2" s="79" t="s">
        <v>162</v>
      </c>
      <c r="G2" s="79" t="s">
        <v>103</v>
      </c>
      <c r="H2" s="79" t="s">
        <v>163</v>
      </c>
      <c r="I2" s="79" t="s">
        <v>80</v>
      </c>
      <c r="J2" s="79" t="s">
        <v>102</v>
      </c>
    </row>
    <row r="3">
      <c r="B3" s="2" t="s">
        <v>4</v>
      </c>
      <c r="D3" s="2"/>
      <c r="F3" s="17" t="s">
        <v>63</v>
      </c>
      <c r="G3" s="2">
        <v>1468.0</v>
      </c>
      <c r="H3" s="17" t="s">
        <v>164</v>
      </c>
      <c r="I3" s="17"/>
      <c r="J3" s="2"/>
    </row>
    <row r="4">
      <c r="B4" s="2" t="s">
        <v>5</v>
      </c>
      <c r="D4" s="2">
        <v>16.0</v>
      </c>
      <c r="F4" s="17" t="s">
        <v>62</v>
      </c>
      <c r="G4" s="17">
        <f>3425-979</f>
        <v>2446</v>
      </c>
      <c r="H4" s="17"/>
      <c r="I4" s="17"/>
      <c r="J4" s="17"/>
    </row>
    <row r="5">
      <c r="B5" s="2" t="s">
        <v>6</v>
      </c>
      <c r="C5">
        <f>7+11+4</f>
        <v>22</v>
      </c>
      <c r="D5" s="4">
        <f>77+81+105+97+96</f>
        <v>456</v>
      </c>
      <c r="F5" s="17" t="s">
        <v>63</v>
      </c>
      <c r="G5" s="17">
        <v>979.0</v>
      </c>
      <c r="H5" s="80"/>
      <c r="I5" s="17"/>
      <c r="J5" s="17"/>
    </row>
    <row r="6">
      <c r="A6" s="1" t="s">
        <v>7</v>
      </c>
      <c r="B6" s="2" t="s">
        <v>8</v>
      </c>
      <c r="D6" s="4"/>
      <c r="F6" s="17"/>
      <c r="G6" s="17"/>
      <c r="H6" s="17"/>
      <c r="I6" s="17"/>
      <c r="J6" s="17"/>
    </row>
    <row r="7">
      <c r="B7" s="2" t="s">
        <v>165</v>
      </c>
      <c r="D7" s="4">
        <v>35.0</v>
      </c>
      <c r="F7" s="17"/>
      <c r="G7" s="17">
        <f>sum(G5, G4, G3)</f>
        <v>4893</v>
      </c>
      <c r="H7" s="17" t="s">
        <v>166</v>
      </c>
      <c r="I7" s="17"/>
      <c r="J7" s="17"/>
    </row>
    <row r="8">
      <c r="A8" s="5" t="s">
        <v>10</v>
      </c>
      <c r="B8" s="6"/>
      <c r="C8" s="5">
        <f t="shared" ref="C8:D8" si="1">SUM(C2:C7)</f>
        <v>22</v>
      </c>
      <c r="D8" s="5">
        <f t="shared" si="1"/>
        <v>683</v>
      </c>
      <c r="E8" s="2"/>
      <c r="F8" s="17" t="s">
        <v>62</v>
      </c>
      <c r="G8" s="17">
        <v>1178.0</v>
      </c>
      <c r="H8" s="17"/>
      <c r="I8" s="17"/>
      <c r="J8" s="17"/>
    </row>
    <row r="9">
      <c r="B9" s="2" t="s">
        <v>11</v>
      </c>
      <c r="C9" s="2"/>
      <c r="D9" s="2">
        <v>20.0</v>
      </c>
      <c r="F9" s="17"/>
      <c r="G9" s="17"/>
      <c r="H9" s="17"/>
      <c r="I9" s="17"/>
      <c r="J9" s="17"/>
    </row>
    <row r="10">
      <c r="B10" s="2" t="s">
        <v>12</v>
      </c>
      <c r="D10" s="2"/>
      <c r="E10" s="7"/>
      <c r="F10" s="17"/>
      <c r="G10" s="17"/>
      <c r="H10" s="17"/>
      <c r="I10" s="17"/>
      <c r="J10" s="17"/>
    </row>
    <row r="11">
      <c r="B11" s="2" t="s">
        <v>13</v>
      </c>
      <c r="D11" s="2"/>
      <c r="F11" s="17"/>
      <c r="G11" s="17"/>
      <c r="H11" s="17"/>
      <c r="I11" s="17"/>
      <c r="J11" s="17"/>
    </row>
    <row r="12">
      <c r="B12" s="2" t="s">
        <v>14</v>
      </c>
      <c r="C12" s="2"/>
      <c r="D12" s="2">
        <v>172.0</v>
      </c>
    </row>
    <row r="13">
      <c r="B13" s="2" t="s">
        <v>15</v>
      </c>
      <c r="C13" s="2"/>
      <c r="D13" s="2">
        <v>34.0</v>
      </c>
      <c r="G13" s="2"/>
      <c r="I13" s="81"/>
    </row>
    <row r="14">
      <c r="B14" s="2" t="s">
        <v>16</v>
      </c>
      <c r="C14" s="2"/>
      <c r="D14" s="2"/>
      <c r="G14" s="2"/>
      <c r="H14" s="2"/>
    </row>
    <row r="15">
      <c r="B15" s="2" t="s">
        <v>17</v>
      </c>
      <c r="C15" s="2"/>
      <c r="D15" s="2"/>
      <c r="G15" s="2"/>
      <c r="H15" s="2"/>
    </row>
    <row r="16">
      <c r="B16" s="2" t="s">
        <v>18</v>
      </c>
      <c r="C16" s="2"/>
      <c r="D16" s="2"/>
      <c r="G16" s="2"/>
      <c r="H16" s="2"/>
    </row>
    <row r="17">
      <c r="A17" s="5" t="s">
        <v>10</v>
      </c>
      <c r="B17" s="6"/>
      <c r="C17" s="5">
        <f t="shared" ref="C17:D17" si="2">SUM(C9:C16)</f>
        <v>0</v>
      </c>
      <c r="D17" s="5">
        <f t="shared" si="2"/>
        <v>226</v>
      </c>
      <c r="G17" s="2"/>
      <c r="H17" s="2"/>
    </row>
    <row r="18">
      <c r="A18" s="1" t="s">
        <v>19</v>
      </c>
      <c r="B18" s="2" t="s">
        <v>20</v>
      </c>
      <c r="D18" s="2"/>
      <c r="G18" s="2"/>
      <c r="H18" s="2"/>
    </row>
    <row r="19">
      <c r="B19" s="2" t="s">
        <v>21</v>
      </c>
      <c r="C19" s="2"/>
      <c r="D19" s="2"/>
      <c r="E19" s="2"/>
      <c r="G19" s="2"/>
      <c r="H19" s="2"/>
    </row>
    <row r="20">
      <c r="B20" s="2" t="s">
        <v>22</v>
      </c>
      <c r="G20" s="2"/>
      <c r="H20" s="2"/>
    </row>
    <row r="21">
      <c r="B21" s="2"/>
      <c r="D21" s="3"/>
      <c r="G21" s="2"/>
      <c r="H21" s="2"/>
    </row>
    <row r="22">
      <c r="B22" s="2" t="s">
        <v>24</v>
      </c>
      <c r="D22" s="2"/>
      <c r="E22" s="2"/>
      <c r="G22" s="2"/>
      <c r="H22" s="2"/>
    </row>
    <row r="23">
      <c r="B23" s="2" t="s">
        <v>26</v>
      </c>
      <c r="G23" s="2"/>
      <c r="H23" s="2"/>
    </row>
    <row r="24">
      <c r="A24" s="5" t="s">
        <v>10</v>
      </c>
      <c r="B24" s="5"/>
      <c r="C24" s="6">
        <f t="shared" ref="C24:D24" si="3">sum(C18:C23)</f>
        <v>0</v>
      </c>
      <c r="D24" s="6">
        <f t="shared" si="3"/>
        <v>0</v>
      </c>
    </row>
    <row r="25">
      <c r="A25" s="1" t="s">
        <v>23</v>
      </c>
      <c r="B25" s="2" t="s">
        <v>25</v>
      </c>
      <c r="C25" s="2"/>
      <c r="D25" s="2">
        <v>39.0</v>
      </c>
    </row>
    <row r="26">
      <c r="B26" s="2" t="s">
        <v>27</v>
      </c>
      <c r="C26">
        <f>28</f>
        <v>28</v>
      </c>
      <c r="D26" s="2"/>
    </row>
    <row r="27">
      <c r="B27" s="2" t="s">
        <v>28</v>
      </c>
      <c r="C27">
        <f>1144</f>
        <v>1144</v>
      </c>
      <c r="D27" s="2">
        <v>22.0</v>
      </c>
    </row>
    <row r="28">
      <c r="B28" s="2" t="s">
        <v>29</v>
      </c>
      <c r="C28" s="9"/>
      <c r="D28" s="10"/>
    </row>
    <row r="29">
      <c r="A29" s="5" t="s">
        <v>10</v>
      </c>
      <c r="B29" s="5"/>
      <c r="C29" s="6">
        <f t="shared" ref="C29:D29" si="4">SUM(C25:C28)</f>
        <v>1172</v>
      </c>
      <c r="D29" s="6">
        <f t="shared" si="4"/>
        <v>61</v>
      </c>
      <c r="G29" s="2" t="s">
        <v>30</v>
      </c>
    </row>
    <row r="30">
      <c r="A30" s="11" t="s">
        <v>10</v>
      </c>
    </row>
    <row r="31">
      <c r="A31" s="11" t="s">
        <v>31</v>
      </c>
      <c r="D31">
        <f>C8+C17+C24+C29</f>
        <v>1194</v>
      </c>
    </row>
    <row r="32">
      <c r="A32" s="11" t="s">
        <v>32</v>
      </c>
      <c r="B32" s="13"/>
      <c r="C32" s="13"/>
      <c r="D32" s="3">
        <f>D8+D17+D24+D29</f>
        <v>970</v>
      </c>
    </row>
    <row r="33">
      <c r="A33" s="11" t="s">
        <v>33</v>
      </c>
      <c r="B33" s="13"/>
      <c r="C33" s="13"/>
      <c r="D33" s="13">
        <f>(D32-D31)/2</f>
        <v>-112</v>
      </c>
    </row>
    <row r="34">
      <c r="A34" s="14"/>
    </row>
    <row r="35">
      <c r="A35" s="2" t="s">
        <v>34</v>
      </c>
    </row>
    <row r="36">
      <c r="A36" s="1" t="s">
        <v>35</v>
      </c>
      <c r="B36" s="1" t="s">
        <v>36</v>
      </c>
      <c r="E36" s="1" t="s">
        <v>37</v>
      </c>
      <c r="F36" s="1" t="s">
        <v>36</v>
      </c>
      <c r="H36" s="15" t="s">
        <v>38</v>
      </c>
      <c r="I36" s="16">
        <f>B43-F43</f>
        <v>-167</v>
      </c>
    </row>
    <row r="37">
      <c r="A37" s="17" t="s">
        <v>39</v>
      </c>
      <c r="B37" s="20">
        <f>D33</f>
        <v>-112</v>
      </c>
      <c r="E37" s="17" t="s">
        <v>167</v>
      </c>
      <c r="F37" s="16"/>
    </row>
    <row r="38">
      <c r="A38" s="17" t="s">
        <v>41</v>
      </c>
      <c r="B38" s="17">
        <v>4.0</v>
      </c>
      <c r="E38" s="19" t="s">
        <v>168</v>
      </c>
      <c r="F38" s="17">
        <v>350.0</v>
      </c>
      <c r="H38" s="3" t="s">
        <v>42</v>
      </c>
    </row>
    <row r="39">
      <c r="A39" s="17" t="s">
        <v>43</v>
      </c>
      <c r="B39" s="17">
        <v>115.0</v>
      </c>
      <c r="E39" s="17"/>
      <c r="F39" s="16"/>
      <c r="G39" s="2"/>
      <c r="H39" s="15" t="s">
        <v>44</v>
      </c>
      <c r="I39" s="20">
        <f>D17/2</f>
        <v>113</v>
      </c>
    </row>
    <row r="40">
      <c r="A40" s="17" t="s">
        <v>171</v>
      </c>
      <c r="B40" s="17">
        <v>176.0</v>
      </c>
      <c r="E40" s="17"/>
      <c r="F40" s="16"/>
      <c r="H40" s="15" t="s">
        <v>45</v>
      </c>
      <c r="I40" s="20">
        <f>D8/2</f>
        <v>341.5</v>
      </c>
    </row>
    <row r="41">
      <c r="A41" s="17"/>
      <c r="B41" s="17"/>
      <c r="E41" s="20"/>
      <c r="F41" s="17"/>
      <c r="H41" s="15" t="s">
        <v>46</v>
      </c>
      <c r="I41" s="20">
        <f>D24/2</f>
        <v>0</v>
      </c>
    </row>
    <row r="42">
      <c r="A42" s="17"/>
      <c r="B42" s="21"/>
      <c r="E42" s="17"/>
      <c r="F42" s="17"/>
      <c r="H42" s="15" t="s">
        <v>47</v>
      </c>
      <c r="I42" s="20">
        <f>D29/2</f>
        <v>30.5</v>
      </c>
    </row>
    <row r="43">
      <c r="A43" s="17" t="s">
        <v>10</v>
      </c>
      <c r="B43" s="17">
        <f>sum(B37:B42)</f>
        <v>183</v>
      </c>
      <c r="E43" s="17" t="s">
        <v>10</v>
      </c>
      <c r="F43" s="18">
        <f>sum(F37:F42)</f>
        <v>350</v>
      </c>
      <c r="H43" s="15" t="s">
        <v>48</v>
      </c>
      <c r="I43" s="20">
        <f>sum(I39:I42)</f>
        <v>485</v>
      </c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</sheetData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25"/>
  </cols>
  <sheetData>
    <row r="1">
      <c r="C1" s="1" t="s">
        <v>0</v>
      </c>
      <c r="D1" s="1" t="s">
        <v>1</v>
      </c>
      <c r="F1" s="1" t="s">
        <v>161</v>
      </c>
      <c r="G1" s="2"/>
    </row>
    <row r="2">
      <c r="A2" s="1" t="s">
        <v>2</v>
      </c>
      <c r="B2" s="2" t="s">
        <v>3</v>
      </c>
      <c r="C2" s="2"/>
      <c r="D2" s="3">
        <f>3+18+3+2+5</f>
        <v>31</v>
      </c>
      <c r="F2" s="79" t="s">
        <v>162</v>
      </c>
      <c r="G2" s="79" t="s">
        <v>103</v>
      </c>
      <c r="H2" s="79" t="s">
        <v>163</v>
      </c>
      <c r="I2" s="79" t="s">
        <v>80</v>
      </c>
      <c r="J2" s="79" t="s">
        <v>102</v>
      </c>
    </row>
    <row r="3">
      <c r="B3" s="2" t="s">
        <v>4</v>
      </c>
      <c r="D3" s="2"/>
      <c r="F3" s="17" t="s">
        <v>63</v>
      </c>
      <c r="G3" s="2">
        <v>1468.0</v>
      </c>
      <c r="H3" s="17" t="s">
        <v>164</v>
      </c>
      <c r="I3" s="17"/>
      <c r="J3" s="2"/>
    </row>
    <row r="4">
      <c r="B4" s="2" t="s">
        <v>5</v>
      </c>
      <c r="D4" s="2"/>
      <c r="F4" s="17" t="s">
        <v>62</v>
      </c>
      <c r="G4" s="17">
        <f>3425-979</f>
        <v>2446</v>
      </c>
      <c r="H4" s="17"/>
      <c r="I4" s="17"/>
      <c r="J4" s="17"/>
    </row>
    <row r="5">
      <c r="B5" s="2" t="s">
        <v>6</v>
      </c>
      <c r="C5">
        <f>5</f>
        <v>5</v>
      </c>
      <c r="D5" s="4">
        <f>44+112+89+46+47</f>
        <v>338</v>
      </c>
      <c r="F5" s="17" t="s">
        <v>63</v>
      </c>
      <c r="G5" s="17">
        <v>979.0</v>
      </c>
      <c r="H5" s="80"/>
      <c r="I5" s="17"/>
      <c r="J5" s="17"/>
    </row>
    <row r="6">
      <c r="A6" s="1" t="s">
        <v>7</v>
      </c>
      <c r="B6" s="2" t="s">
        <v>8</v>
      </c>
      <c r="D6" s="4"/>
      <c r="F6" s="17"/>
      <c r="G6" s="17"/>
      <c r="H6" s="17"/>
      <c r="I6" s="17"/>
      <c r="J6" s="17"/>
    </row>
    <row r="7">
      <c r="B7" s="2" t="s">
        <v>165</v>
      </c>
      <c r="D7" s="4">
        <f>38+30+31</f>
        <v>99</v>
      </c>
      <c r="F7" s="17"/>
      <c r="G7" s="17">
        <f>sum(G5, G4, G3)</f>
        <v>4893</v>
      </c>
      <c r="H7" s="17" t="s">
        <v>166</v>
      </c>
      <c r="I7" s="17"/>
      <c r="J7" s="17"/>
    </row>
    <row r="8">
      <c r="A8" s="5" t="s">
        <v>10</v>
      </c>
      <c r="B8" s="6"/>
      <c r="C8" s="5">
        <f t="shared" ref="C8:D8" si="1">SUM(C2:C7)</f>
        <v>5</v>
      </c>
      <c r="D8" s="5">
        <f t="shared" si="1"/>
        <v>468</v>
      </c>
      <c r="E8" s="2"/>
      <c r="F8" s="17" t="s">
        <v>62</v>
      </c>
      <c r="G8" s="17">
        <v>1178.0</v>
      </c>
      <c r="H8" s="17"/>
      <c r="I8" s="17"/>
      <c r="J8" s="17"/>
    </row>
    <row r="9">
      <c r="B9" s="2" t="s">
        <v>11</v>
      </c>
      <c r="C9" s="2"/>
      <c r="D9" s="2">
        <v>20.0</v>
      </c>
      <c r="F9" s="17"/>
      <c r="G9" s="17"/>
      <c r="H9" s="17"/>
      <c r="I9" s="17"/>
      <c r="J9" s="17"/>
    </row>
    <row r="10">
      <c r="B10" s="2" t="s">
        <v>12</v>
      </c>
      <c r="D10" s="2"/>
      <c r="E10" s="7"/>
      <c r="F10" s="17"/>
      <c r="G10" s="17"/>
      <c r="H10" s="17"/>
      <c r="I10" s="17"/>
      <c r="J10" s="17"/>
    </row>
    <row r="11">
      <c r="B11" s="2" t="s">
        <v>13</v>
      </c>
      <c r="D11" s="2"/>
      <c r="F11" s="17"/>
      <c r="G11" s="17"/>
      <c r="H11" s="17"/>
      <c r="I11" s="17"/>
      <c r="J11" s="17"/>
    </row>
    <row r="12">
      <c r="B12" s="2" t="s">
        <v>14</v>
      </c>
      <c r="C12" s="2"/>
      <c r="D12" s="2">
        <v>172.0</v>
      </c>
    </row>
    <row r="13">
      <c r="B13" s="2" t="s">
        <v>15</v>
      </c>
      <c r="C13" s="2"/>
      <c r="D13" s="2">
        <v>34.0</v>
      </c>
      <c r="G13" s="2"/>
      <c r="I13" s="81"/>
    </row>
    <row r="14">
      <c r="B14" s="2" t="s">
        <v>16</v>
      </c>
      <c r="C14" s="2"/>
      <c r="D14" s="2"/>
      <c r="G14" s="2"/>
      <c r="H14" s="2"/>
    </row>
    <row r="15">
      <c r="B15" s="2" t="s">
        <v>17</v>
      </c>
      <c r="C15" s="2"/>
      <c r="D15" s="2"/>
      <c r="G15" s="2"/>
      <c r="H15" s="2"/>
    </row>
    <row r="16">
      <c r="B16" s="2" t="s">
        <v>18</v>
      </c>
      <c r="C16" s="2"/>
      <c r="D16" s="2"/>
      <c r="G16" s="2"/>
      <c r="H16" s="2"/>
    </row>
    <row r="17">
      <c r="A17" s="5" t="s">
        <v>10</v>
      </c>
      <c r="B17" s="6"/>
      <c r="C17" s="5">
        <f t="shared" ref="C17:D17" si="2">SUM(C9:C16)</f>
        <v>0</v>
      </c>
      <c r="D17" s="5">
        <f t="shared" si="2"/>
        <v>226</v>
      </c>
      <c r="G17" s="2"/>
      <c r="H17" s="2"/>
    </row>
    <row r="18">
      <c r="A18" s="1" t="s">
        <v>19</v>
      </c>
      <c r="B18" s="2" t="s">
        <v>20</v>
      </c>
      <c r="D18" s="2">
        <f>8+102+87+16+70+28+110</f>
        <v>421</v>
      </c>
      <c r="G18" s="2"/>
      <c r="H18" s="2"/>
    </row>
    <row r="19">
      <c r="B19" s="2" t="s">
        <v>21</v>
      </c>
      <c r="C19" s="2">
        <f>15+12</f>
        <v>27</v>
      </c>
      <c r="D19" s="2">
        <f>5+285+15+8+8</f>
        <v>321</v>
      </c>
      <c r="E19" s="2"/>
      <c r="G19" s="2"/>
      <c r="H19" s="2"/>
    </row>
    <row r="20">
      <c r="B20" s="2" t="s">
        <v>22</v>
      </c>
      <c r="G20" s="2"/>
      <c r="H20" s="2"/>
    </row>
    <row r="21">
      <c r="B21" s="2"/>
      <c r="D21" s="3"/>
      <c r="G21" s="2"/>
      <c r="H21" s="2"/>
    </row>
    <row r="22">
      <c r="B22" s="2" t="s">
        <v>24</v>
      </c>
      <c r="D22" s="2">
        <v>24.0</v>
      </c>
      <c r="E22" s="2"/>
      <c r="G22" s="2"/>
      <c r="H22" s="2"/>
    </row>
    <row r="23">
      <c r="B23" s="2" t="s">
        <v>26</v>
      </c>
      <c r="G23" s="2"/>
      <c r="H23" s="2"/>
    </row>
    <row r="24">
      <c r="A24" s="5" t="s">
        <v>10</v>
      </c>
      <c r="B24" s="5"/>
      <c r="C24" s="6">
        <f t="shared" ref="C24:D24" si="3">sum(C18:C23)</f>
        <v>27</v>
      </c>
      <c r="D24" s="6">
        <f t="shared" si="3"/>
        <v>766</v>
      </c>
    </row>
    <row r="25">
      <c r="A25" s="1" t="s">
        <v>23</v>
      </c>
      <c r="B25" s="2" t="s">
        <v>25</v>
      </c>
      <c r="C25" s="2"/>
      <c r="D25" s="2"/>
    </row>
    <row r="26">
      <c r="B26" s="2" t="s">
        <v>27</v>
      </c>
      <c r="D26" s="2">
        <f>30+17</f>
        <v>47</v>
      </c>
    </row>
    <row r="27">
      <c r="B27" s="2" t="s">
        <v>28</v>
      </c>
      <c r="D27" s="2">
        <v>55.0</v>
      </c>
    </row>
    <row r="28">
      <c r="B28" s="2" t="s">
        <v>29</v>
      </c>
      <c r="C28" s="9"/>
      <c r="D28" s="10"/>
    </row>
    <row r="29">
      <c r="A29" s="5" t="s">
        <v>10</v>
      </c>
      <c r="B29" s="5"/>
      <c r="C29" s="6">
        <f t="shared" ref="C29:D29" si="4">SUM(C25:C28)</f>
        <v>0</v>
      </c>
      <c r="D29" s="6">
        <f t="shared" si="4"/>
        <v>102</v>
      </c>
      <c r="G29" s="2" t="s">
        <v>30</v>
      </c>
    </row>
    <row r="30">
      <c r="A30" s="11" t="s">
        <v>10</v>
      </c>
    </row>
    <row r="31">
      <c r="A31" s="11" t="s">
        <v>31</v>
      </c>
      <c r="D31">
        <f>C8+C17+C24+C29</f>
        <v>32</v>
      </c>
    </row>
    <row r="32">
      <c r="A32" s="11" t="s">
        <v>32</v>
      </c>
      <c r="B32" s="13"/>
      <c r="C32" s="13"/>
      <c r="D32" s="3">
        <f>D8+D17+D24+D29</f>
        <v>1562</v>
      </c>
    </row>
    <row r="33">
      <c r="A33" s="11" t="s">
        <v>33</v>
      </c>
      <c r="B33" s="13"/>
      <c r="C33" s="13"/>
      <c r="D33" s="13">
        <f>(D32-D31)/2</f>
        <v>765</v>
      </c>
    </row>
    <row r="34">
      <c r="A34" s="14"/>
    </row>
    <row r="35">
      <c r="A35" s="2" t="s">
        <v>34</v>
      </c>
    </row>
    <row r="36">
      <c r="A36" s="1" t="s">
        <v>35</v>
      </c>
      <c r="B36" s="1" t="s">
        <v>36</v>
      </c>
      <c r="E36" s="1" t="s">
        <v>37</v>
      </c>
      <c r="F36" s="1" t="s">
        <v>36</v>
      </c>
      <c r="H36" s="15" t="s">
        <v>38</v>
      </c>
      <c r="I36" s="16">
        <f>B43-F43</f>
        <v>-197</v>
      </c>
    </row>
    <row r="37">
      <c r="A37" s="17" t="s">
        <v>39</v>
      </c>
      <c r="B37" s="20">
        <f>D33</f>
        <v>765</v>
      </c>
      <c r="E37" s="17" t="s">
        <v>167</v>
      </c>
      <c r="F37" s="16"/>
    </row>
    <row r="38">
      <c r="A38" s="17" t="s">
        <v>41</v>
      </c>
      <c r="B38" s="17">
        <v>-167.0</v>
      </c>
      <c r="E38" s="19" t="s">
        <v>168</v>
      </c>
      <c r="F38" s="17">
        <v>900.0</v>
      </c>
      <c r="H38" s="3" t="s">
        <v>42</v>
      </c>
    </row>
    <row r="39">
      <c r="A39" s="17" t="s">
        <v>43</v>
      </c>
      <c r="B39" s="17">
        <v>115.0</v>
      </c>
      <c r="D39" s="2"/>
      <c r="E39" s="17" t="s">
        <v>172</v>
      </c>
      <c r="F39" s="16">
        <v>10.0</v>
      </c>
      <c r="G39" s="2"/>
      <c r="H39" s="15" t="s">
        <v>44</v>
      </c>
      <c r="I39" s="20">
        <f>D17/2</f>
        <v>113</v>
      </c>
    </row>
    <row r="40">
      <c r="A40" s="17"/>
      <c r="B40" s="17"/>
      <c r="E40" s="17"/>
      <c r="F40" s="16"/>
      <c r="H40" s="15" t="s">
        <v>45</v>
      </c>
      <c r="I40" s="20">
        <f>D8/2</f>
        <v>234</v>
      </c>
    </row>
    <row r="41">
      <c r="A41" s="17"/>
      <c r="B41" s="17"/>
      <c r="E41" s="20"/>
      <c r="F41" s="17"/>
      <c r="H41" s="15" t="s">
        <v>46</v>
      </c>
      <c r="I41" s="20">
        <f>D24/2</f>
        <v>383</v>
      </c>
    </row>
    <row r="42">
      <c r="A42" s="17"/>
      <c r="B42" s="21"/>
      <c r="E42" s="17"/>
      <c r="F42" s="17"/>
      <c r="H42" s="15" t="s">
        <v>47</v>
      </c>
      <c r="I42" s="20">
        <f>D29/2</f>
        <v>51</v>
      </c>
    </row>
    <row r="43">
      <c r="A43" s="17" t="s">
        <v>10</v>
      </c>
      <c r="B43" s="17">
        <f>sum(B37:B42)</f>
        <v>713</v>
      </c>
      <c r="E43" s="17" t="s">
        <v>10</v>
      </c>
      <c r="F43" s="18">
        <f>sum(F37:F42)</f>
        <v>910</v>
      </c>
      <c r="H43" s="15" t="s">
        <v>48</v>
      </c>
      <c r="I43" s="20">
        <f>sum(I39:I42)</f>
        <v>781</v>
      </c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</sheetData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1" t="s">
        <v>161</v>
      </c>
      <c r="H1" s="2"/>
    </row>
    <row r="2">
      <c r="A2" s="1" t="s">
        <v>2</v>
      </c>
      <c r="B2" s="2" t="s">
        <v>3</v>
      </c>
      <c r="C2" s="2"/>
      <c r="D2" s="3">
        <f>20+3+15+23</f>
        <v>61</v>
      </c>
      <c r="E2" s="3"/>
      <c r="G2" s="79" t="s">
        <v>162</v>
      </c>
      <c r="H2" s="79" t="s">
        <v>103</v>
      </c>
      <c r="I2" s="79" t="s">
        <v>163</v>
      </c>
      <c r="J2" s="79" t="s">
        <v>80</v>
      </c>
      <c r="K2" s="79" t="s">
        <v>102</v>
      </c>
    </row>
    <row r="3">
      <c r="B3" s="2" t="s">
        <v>4</v>
      </c>
      <c r="D3" s="2">
        <v>17.0</v>
      </c>
      <c r="E3" s="2"/>
      <c r="G3" s="17" t="s">
        <v>63</v>
      </c>
      <c r="H3" s="2">
        <v>1468.0</v>
      </c>
      <c r="I3" s="17" t="s">
        <v>164</v>
      </c>
      <c r="J3" s="17"/>
      <c r="K3" s="2"/>
    </row>
    <row r="4">
      <c r="B4" s="2" t="s">
        <v>5</v>
      </c>
      <c r="D4" s="2">
        <v>25.0</v>
      </c>
      <c r="E4" s="2"/>
      <c r="G4" s="17" t="s">
        <v>62</v>
      </c>
      <c r="H4" s="17">
        <f>3425-979</f>
        <v>2446</v>
      </c>
      <c r="I4" s="17"/>
      <c r="J4" s="17"/>
      <c r="K4" s="17"/>
    </row>
    <row r="5">
      <c r="B5" s="2" t="s">
        <v>6</v>
      </c>
      <c r="C5" s="2">
        <v>7.0</v>
      </c>
      <c r="D5" s="4">
        <f>100+93+16+7+81</f>
        <v>297</v>
      </c>
      <c r="E5" s="4"/>
      <c r="G5" s="17" t="s">
        <v>63</v>
      </c>
      <c r="H5" s="17">
        <v>979.0</v>
      </c>
      <c r="I5" s="80"/>
      <c r="J5" s="17"/>
      <c r="K5" s="17"/>
    </row>
    <row r="6">
      <c r="A6" s="1" t="s">
        <v>7</v>
      </c>
      <c r="B6" s="2" t="s">
        <v>8</v>
      </c>
      <c r="D6" s="4"/>
      <c r="E6" s="4"/>
      <c r="G6" s="17"/>
      <c r="H6" s="17"/>
      <c r="I6" s="17"/>
      <c r="J6" s="17"/>
      <c r="K6" s="17"/>
    </row>
    <row r="7">
      <c r="B7" s="2" t="s">
        <v>165</v>
      </c>
      <c r="C7">
        <f>31</f>
        <v>31</v>
      </c>
      <c r="D7" s="4">
        <v>5.0</v>
      </c>
      <c r="E7" s="4"/>
      <c r="G7" s="17"/>
      <c r="H7" s="17">
        <f>sum(H5, H4, H3)</f>
        <v>4893</v>
      </c>
      <c r="I7" s="17" t="s">
        <v>166</v>
      </c>
      <c r="J7" s="17"/>
      <c r="K7" s="17"/>
    </row>
    <row r="8">
      <c r="A8" s="5" t="s">
        <v>10</v>
      </c>
      <c r="B8" s="6"/>
      <c r="C8" s="5">
        <f t="shared" ref="C8:D8" si="1">SUM(C2:C7)</f>
        <v>38</v>
      </c>
      <c r="D8" s="5">
        <f t="shared" si="1"/>
        <v>405</v>
      </c>
      <c r="E8" s="5"/>
      <c r="F8" s="2"/>
      <c r="G8" s="17" t="s">
        <v>62</v>
      </c>
      <c r="H8" s="17">
        <v>1178.0</v>
      </c>
      <c r="I8" s="17"/>
      <c r="J8" s="17"/>
      <c r="K8" s="17"/>
    </row>
    <row r="9">
      <c r="B9" s="2" t="s">
        <v>11</v>
      </c>
      <c r="C9" s="2"/>
      <c r="D9" s="2">
        <v>22.0</v>
      </c>
      <c r="E9" s="2"/>
      <c r="G9" s="17"/>
      <c r="H9" s="17"/>
      <c r="I9" s="17"/>
      <c r="J9" s="17"/>
      <c r="K9" s="17"/>
    </row>
    <row r="10">
      <c r="B10" s="2" t="s">
        <v>12</v>
      </c>
      <c r="D10" s="2"/>
      <c r="E10" s="2"/>
      <c r="F10" s="7"/>
      <c r="G10" s="17"/>
      <c r="H10" s="17"/>
      <c r="I10" s="17"/>
      <c r="J10" s="17"/>
      <c r="K10" s="17"/>
    </row>
    <row r="11">
      <c r="B11" s="2" t="s">
        <v>13</v>
      </c>
      <c r="D11" s="2"/>
      <c r="E11" s="2"/>
      <c r="G11" s="17"/>
      <c r="H11" s="17"/>
      <c r="I11" s="17"/>
      <c r="J11" s="17"/>
      <c r="K11" s="17"/>
    </row>
    <row r="12">
      <c r="B12" s="2" t="s">
        <v>14</v>
      </c>
      <c r="C12" s="2"/>
      <c r="D12" s="2">
        <v>172.0</v>
      </c>
      <c r="E12" s="2"/>
    </row>
    <row r="13">
      <c r="B13" s="2" t="s">
        <v>15</v>
      </c>
      <c r="C13" s="2"/>
      <c r="D13" s="2">
        <v>34.0</v>
      </c>
      <c r="E13" s="2"/>
      <c r="H13" s="2"/>
      <c r="J13" s="81"/>
    </row>
    <row r="14">
      <c r="B14" s="2" t="s">
        <v>16</v>
      </c>
      <c r="C14" s="2"/>
      <c r="D14" s="2"/>
      <c r="E14" s="2"/>
      <c r="H14" s="2"/>
      <c r="I14" s="2"/>
    </row>
    <row r="15">
      <c r="B15" s="2" t="s">
        <v>17</v>
      </c>
      <c r="C15" s="2"/>
      <c r="D15" s="2"/>
      <c r="E15" s="2"/>
      <c r="H15" s="2"/>
      <c r="I15" s="2"/>
    </row>
    <row r="16">
      <c r="B16" s="2" t="s">
        <v>18</v>
      </c>
      <c r="C16" s="2"/>
      <c r="D16" s="2"/>
      <c r="E16" s="2"/>
      <c r="H16" s="2"/>
      <c r="I16" s="2"/>
    </row>
    <row r="17">
      <c r="A17" s="5" t="s">
        <v>10</v>
      </c>
      <c r="B17" s="6"/>
      <c r="C17" s="5">
        <f t="shared" ref="C17:D17" si="2">SUM(C9:C16)</f>
        <v>0</v>
      </c>
      <c r="D17" s="5">
        <f t="shared" si="2"/>
        <v>228</v>
      </c>
      <c r="E17" s="5"/>
      <c r="H17" s="2"/>
      <c r="I17" s="2"/>
    </row>
    <row r="18">
      <c r="A18" s="1" t="s">
        <v>19</v>
      </c>
      <c r="B18" s="2" t="s">
        <v>20</v>
      </c>
      <c r="C18">
        <f>40+23+172+9</f>
        <v>244</v>
      </c>
      <c r="D18" s="2">
        <f>388+90</f>
        <v>478</v>
      </c>
      <c r="E18" s="2"/>
      <c r="H18" s="2"/>
      <c r="I18" s="2"/>
    </row>
    <row r="19">
      <c r="B19" s="2" t="s">
        <v>21</v>
      </c>
      <c r="C19" s="2">
        <f>219+18+16+14+25+31+13+29+1+16+77+14+3+62+2+5+25+17+101+147+36+27+45+60+2</f>
        <v>1005</v>
      </c>
      <c r="D19" s="2">
        <f>339+37+2+26+84+26+9+37+11+14+16+9+8+2+62</f>
        <v>682</v>
      </c>
      <c r="E19" s="2"/>
      <c r="F19" s="2"/>
      <c r="H19" s="2"/>
      <c r="I19" s="2"/>
    </row>
    <row r="20">
      <c r="B20" s="2" t="s">
        <v>22</v>
      </c>
      <c r="H20" s="2"/>
      <c r="I20" s="2"/>
    </row>
    <row r="21">
      <c r="B21" s="2"/>
      <c r="D21" s="3"/>
      <c r="E21" s="3"/>
      <c r="H21" s="2"/>
      <c r="I21" s="2"/>
    </row>
    <row r="22">
      <c r="B22" s="2" t="s">
        <v>24</v>
      </c>
      <c r="D22" s="2"/>
      <c r="E22" s="2"/>
      <c r="F22" s="2"/>
      <c r="H22" s="2"/>
      <c r="I22" s="2"/>
    </row>
    <row r="23">
      <c r="B23" s="2" t="s">
        <v>26</v>
      </c>
      <c r="H23" s="2"/>
      <c r="I23" s="2"/>
    </row>
    <row r="24">
      <c r="A24" s="5" t="s">
        <v>10</v>
      </c>
      <c r="B24" s="5"/>
      <c r="C24" s="6">
        <f t="shared" ref="C24:D24" si="3">sum(C18:C23)</f>
        <v>1249</v>
      </c>
      <c r="D24" s="6">
        <f t="shared" si="3"/>
        <v>1160</v>
      </c>
      <c r="E24" s="6"/>
    </row>
    <row r="25">
      <c r="A25" s="1" t="s">
        <v>23</v>
      </c>
      <c r="B25" s="2" t="s">
        <v>25</v>
      </c>
      <c r="C25" s="2"/>
      <c r="D25" s="2">
        <v>41.0</v>
      </c>
      <c r="E25" s="2"/>
    </row>
    <row r="26">
      <c r="B26" s="2" t="s">
        <v>27</v>
      </c>
      <c r="D26" s="2"/>
      <c r="E26" s="2">
        <v>12.0</v>
      </c>
    </row>
    <row r="27">
      <c r="B27" s="2" t="s">
        <v>28</v>
      </c>
      <c r="C27" s="2">
        <v>23.0</v>
      </c>
      <c r="D27" s="2"/>
      <c r="E27" s="2"/>
    </row>
    <row r="28">
      <c r="B28" s="2" t="s">
        <v>29</v>
      </c>
      <c r="C28" s="9"/>
      <c r="D28" s="10"/>
      <c r="E28" s="10"/>
    </row>
    <row r="29">
      <c r="A29" s="5" t="s">
        <v>10</v>
      </c>
      <c r="B29" s="5"/>
      <c r="C29" s="6">
        <f t="shared" ref="C29:D29" si="4">SUM(C25:C28)</f>
        <v>23</v>
      </c>
      <c r="D29" s="6">
        <f t="shared" si="4"/>
        <v>41</v>
      </c>
      <c r="E29" s="6"/>
      <c r="H29" s="2" t="s">
        <v>30</v>
      </c>
    </row>
    <row r="30">
      <c r="A30" s="11" t="s">
        <v>10</v>
      </c>
    </row>
    <row r="31">
      <c r="A31" s="11" t="s">
        <v>31</v>
      </c>
      <c r="B31" s="12"/>
      <c r="C31" s="12"/>
      <c r="D31">
        <f>C8+C17+C24+C29</f>
        <v>1310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1" t="s">
        <v>32</v>
      </c>
      <c r="B32" s="13"/>
      <c r="C32" s="13"/>
      <c r="D32" s="3">
        <f>D8+D17+D24+D29</f>
        <v>1834</v>
      </c>
      <c r="E32" s="3"/>
    </row>
    <row r="33">
      <c r="A33" s="11" t="s">
        <v>33</v>
      </c>
      <c r="B33" s="13"/>
      <c r="C33" s="13"/>
      <c r="D33" s="13">
        <f>(D32-D31)/2</f>
        <v>262</v>
      </c>
      <c r="E33" s="13"/>
    </row>
    <row r="34">
      <c r="A34" s="14"/>
    </row>
    <row r="35">
      <c r="A35" s="2" t="s">
        <v>34</v>
      </c>
    </row>
    <row r="36">
      <c r="A36" s="1" t="s">
        <v>35</v>
      </c>
      <c r="B36" s="1" t="s">
        <v>36</v>
      </c>
      <c r="F36" s="1" t="s">
        <v>37</v>
      </c>
      <c r="G36" s="1" t="s">
        <v>36</v>
      </c>
      <c r="I36" s="15" t="s">
        <v>38</v>
      </c>
      <c r="J36" s="16">
        <f>B43-G43</f>
        <v>-420</v>
      </c>
    </row>
    <row r="37">
      <c r="A37" s="17" t="s">
        <v>39</v>
      </c>
      <c r="B37" s="20">
        <f>D33</f>
        <v>262</v>
      </c>
      <c r="F37" s="17" t="s">
        <v>167</v>
      </c>
      <c r="G37" s="16"/>
    </row>
    <row r="38">
      <c r="A38" s="17" t="s">
        <v>41</v>
      </c>
      <c r="B38" s="17">
        <v>-197.0</v>
      </c>
      <c r="F38" s="19" t="s">
        <v>168</v>
      </c>
      <c r="G38" s="17">
        <f>600</f>
        <v>600</v>
      </c>
      <c r="I38" s="3" t="s">
        <v>42</v>
      </c>
    </row>
    <row r="39">
      <c r="A39" s="17" t="s">
        <v>43</v>
      </c>
      <c r="B39" s="17">
        <v>115.0</v>
      </c>
      <c r="D39" s="2"/>
      <c r="E39" s="2"/>
      <c r="F39" s="17"/>
      <c r="G39" s="16"/>
      <c r="H39" s="2"/>
      <c r="I39" s="15" t="s">
        <v>44</v>
      </c>
      <c r="J39" s="20">
        <f>D17/2</f>
        <v>114</v>
      </c>
    </row>
    <row r="40">
      <c r="A40" s="17"/>
      <c r="B40" s="17"/>
      <c r="F40" s="17"/>
      <c r="G40" s="16"/>
      <c r="I40" s="15" t="s">
        <v>45</v>
      </c>
      <c r="J40" s="20">
        <f>D8/2</f>
        <v>202.5</v>
      </c>
    </row>
    <row r="41">
      <c r="A41" s="17"/>
      <c r="B41" s="17"/>
      <c r="F41" s="20"/>
      <c r="G41" s="17"/>
      <c r="I41" s="15" t="s">
        <v>46</v>
      </c>
      <c r="J41" s="20">
        <f>D24/2</f>
        <v>580</v>
      </c>
    </row>
    <row r="42">
      <c r="A42" s="17"/>
      <c r="B42" s="21"/>
      <c r="F42" s="17"/>
      <c r="G42" s="17"/>
      <c r="I42" s="15" t="s">
        <v>47</v>
      </c>
      <c r="J42" s="20">
        <f>D29/2</f>
        <v>20.5</v>
      </c>
    </row>
    <row r="43">
      <c r="A43" s="17" t="s">
        <v>10</v>
      </c>
      <c r="B43" s="15">
        <f>sum(B37:B42)</f>
        <v>180</v>
      </c>
      <c r="F43" s="17" t="s">
        <v>10</v>
      </c>
      <c r="G43" s="18">
        <f>sum(G37:G42)</f>
        <v>600</v>
      </c>
      <c r="I43" s="15" t="s">
        <v>48</v>
      </c>
      <c r="J43" s="20">
        <f>sum(J39:J42)</f>
        <v>917</v>
      </c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</sheetData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1" t="s">
        <v>161</v>
      </c>
      <c r="H1" s="2"/>
    </row>
    <row r="2">
      <c r="A2" s="1" t="s">
        <v>2</v>
      </c>
      <c r="B2" s="2" t="s">
        <v>3</v>
      </c>
      <c r="C2">
        <f>39</f>
        <v>39</v>
      </c>
      <c r="D2" s="3">
        <f>4+11+24+4+19+10+3</f>
        <v>75</v>
      </c>
      <c r="E2" s="3"/>
      <c r="G2" s="79" t="s">
        <v>162</v>
      </c>
      <c r="H2" s="79" t="s">
        <v>103</v>
      </c>
      <c r="I2" s="79" t="s">
        <v>163</v>
      </c>
      <c r="J2" s="79" t="s">
        <v>80</v>
      </c>
      <c r="K2" s="79" t="s">
        <v>102</v>
      </c>
    </row>
    <row r="3">
      <c r="B3" s="2" t="s">
        <v>4</v>
      </c>
      <c r="E3" s="2"/>
      <c r="G3" s="17" t="s">
        <v>63</v>
      </c>
      <c r="H3" s="2">
        <v>1468.0</v>
      </c>
      <c r="I3" s="17" t="s">
        <v>164</v>
      </c>
      <c r="J3" s="17"/>
      <c r="K3" s="2"/>
    </row>
    <row r="4">
      <c r="B4" s="2" t="s">
        <v>5</v>
      </c>
      <c r="E4" s="2"/>
      <c r="G4" s="17" t="s">
        <v>62</v>
      </c>
      <c r="H4" s="17">
        <f>3425-979</f>
        <v>2446</v>
      </c>
      <c r="I4" s="17"/>
      <c r="J4" s="17"/>
      <c r="K4" s="17"/>
    </row>
    <row r="5">
      <c r="B5" s="2" t="s">
        <v>6</v>
      </c>
      <c r="C5">
        <f>5+2</f>
        <v>7</v>
      </c>
      <c r="D5" s="4">
        <f>69+66+111+12+67</f>
        <v>325</v>
      </c>
      <c r="E5" s="4"/>
      <c r="G5" s="17" t="s">
        <v>63</v>
      </c>
      <c r="H5" s="17">
        <v>979.0</v>
      </c>
      <c r="I5" s="80"/>
      <c r="J5" s="17"/>
      <c r="K5" s="17"/>
    </row>
    <row r="6">
      <c r="A6" s="1" t="s">
        <v>7</v>
      </c>
      <c r="B6" s="2" t="s">
        <v>8</v>
      </c>
      <c r="D6" s="4"/>
      <c r="E6" s="4"/>
      <c r="G6" s="17"/>
      <c r="H6" s="17"/>
      <c r="I6" s="17"/>
      <c r="J6" s="17"/>
      <c r="K6" s="17"/>
    </row>
    <row r="7">
      <c r="B7" s="2" t="s">
        <v>165</v>
      </c>
      <c r="D7" s="4">
        <v>37.0</v>
      </c>
      <c r="E7" s="4"/>
      <c r="G7" s="17"/>
      <c r="H7" s="17">
        <f>sum(H5, H4, H3)</f>
        <v>4893</v>
      </c>
      <c r="I7" s="17" t="s">
        <v>166</v>
      </c>
      <c r="J7" s="17"/>
      <c r="K7" s="17"/>
    </row>
    <row r="8">
      <c r="A8" s="5" t="s">
        <v>10</v>
      </c>
      <c r="B8" s="6"/>
      <c r="C8" s="5">
        <f t="shared" ref="C8:D8" si="1">SUM(C2:C7)</f>
        <v>46</v>
      </c>
      <c r="D8" s="5">
        <f t="shared" si="1"/>
        <v>437</v>
      </c>
      <c r="E8" s="5"/>
      <c r="F8" s="2"/>
      <c r="G8" s="17" t="s">
        <v>62</v>
      </c>
      <c r="H8" s="17">
        <v>1178.0</v>
      </c>
      <c r="I8" s="17"/>
      <c r="J8" s="17"/>
      <c r="K8" s="17"/>
    </row>
    <row r="9">
      <c r="B9" s="2" t="s">
        <v>11</v>
      </c>
      <c r="C9" s="2"/>
      <c r="D9" s="2">
        <v>22.0</v>
      </c>
      <c r="E9" s="2"/>
      <c r="G9" s="17"/>
      <c r="H9" s="17"/>
      <c r="I9" s="17"/>
      <c r="J9" s="17"/>
      <c r="K9" s="17"/>
    </row>
    <row r="10">
      <c r="B10" s="2" t="s">
        <v>12</v>
      </c>
      <c r="D10" s="2"/>
      <c r="E10" s="2"/>
      <c r="F10" s="7"/>
      <c r="G10" s="17"/>
      <c r="H10" s="17"/>
      <c r="I10" s="17"/>
      <c r="J10" s="17"/>
      <c r="K10" s="17"/>
    </row>
    <row r="11">
      <c r="B11" s="2" t="s">
        <v>13</v>
      </c>
      <c r="D11" s="2"/>
      <c r="E11" s="2"/>
      <c r="G11" s="17"/>
      <c r="H11" s="17"/>
      <c r="I11" s="17"/>
      <c r="J11" s="17"/>
      <c r="K11" s="17"/>
    </row>
    <row r="12">
      <c r="B12" s="2" t="s">
        <v>14</v>
      </c>
      <c r="C12" s="2"/>
      <c r="D12" s="2">
        <v>172.0</v>
      </c>
      <c r="E12" s="2"/>
    </row>
    <row r="13">
      <c r="B13" s="2" t="s">
        <v>15</v>
      </c>
      <c r="C13" s="2">
        <v>49.0</v>
      </c>
      <c r="D13" s="2">
        <v>34.0</v>
      </c>
      <c r="E13" s="2"/>
      <c r="H13" s="2"/>
      <c r="J13" s="81"/>
    </row>
    <row r="14">
      <c r="B14" s="2" t="s">
        <v>16</v>
      </c>
      <c r="C14" s="2"/>
      <c r="D14" s="2"/>
      <c r="E14" s="2"/>
      <c r="H14" s="2"/>
      <c r="I14" s="2"/>
    </row>
    <row r="15">
      <c r="B15" s="2" t="s">
        <v>17</v>
      </c>
      <c r="C15" s="2"/>
      <c r="D15" s="2"/>
      <c r="E15" s="2"/>
      <c r="H15" s="2"/>
      <c r="I15" s="2"/>
    </row>
    <row r="16">
      <c r="B16" s="2" t="s">
        <v>18</v>
      </c>
      <c r="C16" s="2"/>
      <c r="D16" s="2"/>
      <c r="E16" s="2"/>
      <c r="H16" s="2"/>
      <c r="I16" s="2"/>
      <c r="J16" s="2">
        <v>797.0</v>
      </c>
    </row>
    <row r="17">
      <c r="A17" s="5" t="s">
        <v>10</v>
      </c>
      <c r="B17" s="6"/>
      <c r="C17" s="5">
        <f t="shared" ref="C17:D17" si="2">SUM(C9:C16)</f>
        <v>49</v>
      </c>
      <c r="D17" s="5">
        <f t="shared" si="2"/>
        <v>228</v>
      </c>
      <c r="E17" s="5"/>
      <c r="H17" s="2"/>
      <c r="I17" s="2"/>
      <c r="J17" s="2">
        <v>-180.0</v>
      </c>
    </row>
    <row r="18">
      <c r="A18" s="1" t="s">
        <v>19</v>
      </c>
      <c r="B18" s="2" t="s">
        <v>20</v>
      </c>
      <c r="E18" s="2"/>
      <c r="H18" s="2"/>
      <c r="I18" s="2"/>
    </row>
    <row r="19">
      <c r="B19" s="2" t="s">
        <v>21</v>
      </c>
      <c r="D19" s="2">
        <v>53.0</v>
      </c>
      <c r="E19" s="2"/>
      <c r="F19" s="2"/>
      <c r="H19" s="2"/>
      <c r="I19" s="2"/>
    </row>
    <row r="20">
      <c r="B20" s="2" t="s">
        <v>22</v>
      </c>
      <c r="H20" s="2"/>
      <c r="I20" s="2"/>
    </row>
    <row r="21">
      <c r="B21" s="2"/>
      <c r="D21" s="3"/>
      <c r="E21" s="3"/>
      <c r="H21" s="2"/>
      <c r="I21" s="2"/>
    </row>
    <row r="22">
      <c r="B22" s="2" t="s">
        <v>24</v>
      </c>
      <c r="D22" s="2"/>
      <c r="E22" s="2"/>
      <c r="F22" s="2"/>
      <c r="H22" s="2"/>
      <c r="I22" s="2"/>
    </row>
    <row r="23">
      <c r="B23" s="2" t="s">
        <v>26</v>
      </c>
      <c r="H23" s="2"/>
      <c r="I23" s="2"/>
    </row>
    <row r="24">
      <c r="A24" s="5" t="s">
        <v>10</v>
      </c>
      <c r="B24" s="5"/>
      <c r="C24" s="6">
        <f t="shared" ref="C24:D24" si="3">sum(C18:C23)</f>
        <v>0</v>
      </c>
      <c r="D24" s="6">
        <f t="shared" si="3"/>
        <v>53</v>
      </c>
      <c r="E24" s="6"/>
    </row>
    <row r="25">
      <c r="A25" s="1" t="s">
        <v>23</v>
      </c>
      <c r="B25" s="2" t="s">
        <v>25</v>
      </c>
    </row>
    <row r="26">
      <c r="B26" s="2" t="s">
        <v>27</v>
      </c>
      <c r="D26" s="2">
        <v>50.0</v>
      </c>
    </row>
    <row r="27">
      <c r="B27" s="2" t="s">
        <v>28</v>
      </c>
      <c r="C27" s="2">
        <f>410+30</f>
        <v>440</v>
      </c>
    </row>
    <row r="28">
      <c r="B28" s="2" t="s">
        <v>29</v>
      </c>
      <c r="C28" s="9"/>
      <c r="D28" s="10"/>
      <c r="E28" s="10"/>
    </row>
    <row r="29">
      <c r="A29" s="5" t="s">
        <v>10</v>
      </c>
      <c r="B29" s="5"/>
      <c r="C29" s="6">
        <f t="shared" ref="C29:D29" si="4">SUM(C25:C28)</f>
        <v>440</v>
      </c>
      <c r="D29" s="6">
        <f t="shared" si="4"/>
        <v>50</v>
      </c>
      <c r="E29" s="6"/>
      <c r="H29" s="2" t="s">
        <v>30</v>
      </c>
    </row>
    <row r="30">
      <c r="A30" s="11" t="s">
        <v>10</v>
      </c>
      <c r="G30" s="2" t="s">
        <v>173</v>
      </c>
    </row>
    <row r="31">
      <c r="A31" s="11" t="s">
        <v>31</v>
      </c>
      <c r="B31" s="12"/>
      <c r="C31" s="12"/>
      <c r="D31">
        <f>C8+C17+C24+C29</f>
        <v>535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1" t="s">
        <v>32</v>
      </c>
      <c r="B32" s="13"/>
      <c r="C32" s="13"/>
      <c r="D32" s="3">
        <f>D8+D17+D24+D29</f>
        <v>768</v>
      </c>
      <c r="E32" s="3"/>
    </row>
    <row r="33">
      <c r="A33" s="11" t="s">
        <v>33</v>
      </c>
      <c r="B33" s="13"/>
      <c r="C33" s="13"/>
      <c r="D33" s="4">
        <f>(D32-D31)/2</f>
        <v>116.5</v>
      </c>
      <c r="E33" s="13"/>
    </row>
    <row r="34">
      <c r="A34" s="14"/>
    </row>
    <row r="35">
      <c r="A35" s="2" t="s">
        <v>34</v>
      </c>
    </row>
    <row r="36">
      <c r="A36" s="1" t="s">
        <v>35</v>
      </c>
      <c r="B36" s="1" t="s">
        <v>36</v>
      </c>
      <c r="F36" s="1" t="s">
        <v>37</v>
      </c>
      <c r="G36" s="1" t="s">
        <v>36</v>
      </c>
      <c r="I36" s="15" t="s">
        <v>38</v>
      </c>
      <c r="J36" s="16">
        <f>B43-G43</f>
        <v>-388.5</v>
      </c>
    </row>
    <row r="37">
      <c r="A37" s="17" t="s">
        <v>39</v>
      </c>
      <c r="B37" s="18">
        <f>D33</f>
        <v>116.5</v>
      </c>
      <c r="F37" s="17" t="s">
        <v>167</v>
      </c>
      <c r="G37" s="16"/>
    </row>
    <row r="38">
      <c r="A38" s="17" t="s">
        <v>41</v>
      </c>
      <c r="B38" s="17">
        <v>-420.0</v>
      </c>
      <c r="F38" s="19" t="s">
        <v>168</v>
      </c>
      <c r="G38" s="17">
        <v>200.0</v>
      </c>
      <c r="I38" s="3" t="s">
        <v>42</v>
      </c>
    </row>
    <row r="39">
      <c r="A39" s="17" t="s">
        <v>43</v>
      </c>
      <c r="B39" s="17">
        <v>115.0</v>
      </c>
      <c r="D39" s="2"/>
      <c r="E39" s="2"/>
      <c r="F39" s="17"/>
      <c r="G39" s="16"/>
      <c r="H39" s="2"/>
      <c r="I39" s="15" t="s">
        <v>44</v>
      </c>
      <c r="J39" s="20">
        <f>D17/2</f>
        <v>114</v>
      </c>
    </row>
    <row r="40">
      <c r="A40" s="17"/>
      <c r="B40" s="17"/>
      <c r="F40" s="17"/>
      <c r="G40" s="16"/>
      <c r="I40" s="15" t="s">
        <v>45</v>
      </c>
      <c r="J40" s="20">
        <f>D8/2</f>
        <v>218.5</v>
      </c>
    </row>
    <row r="41">
      <c r="A41" s="17"/>
      <c r="B41" s="17"/>
      <c r="F41" s="20"/>
      <c r="G41" s="17"/>
      <c r="I41" s="15" t="s">
        <v>46</v>
      </c>
      <c r="J41" s="20">
        <f>D24/2</f>
        <v>26.5</v>
      </c>
    </row>
    <row r="42">
      <c r="A42" s="17"/>
      <c r="B42" s="21"/>
      <c r="F42" s="17"/>
      <c r="G42" s="17"/>
      <c r="I42" s="15" t="s">
        <v>47</v>
      </c>
      <c r="J42" s="20">
        <f>D29/2</f>
        <v>25</v>
      </c>
    </row>
    <row r="43">
      <c r="A43" s="17" t="s">
        <v>10</v>
      </c>
      <c r="B43" s="22">
        <f>sum(B37:B42)</f>
        <v>-188.5</v>
      </c>
      <c r="F43" s="17" t="s">
        <v>10</v>
      </c>
      <c r="G43" s="18">
        <f>sum(G37:G42)</f>
        <v>200</v>
      </c>
      <c r="I43" s="15" t="s">
        <v>48</v>
      </c>
      <c r="J43" s="20">
        <f>sum(J39:J42)</f>
        <v>384</v>
      </c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</sheetData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1" t="s">
        <v>161</v>
      </c>
      <c r="H1" s="2"/>
    </row>
    <row r="2">
      <c r="A2" s="1" t="s">
        <v>2</v>
      </c>
      <c r="B2" s="2" t="s">
        <v>3</v>
      </c>
      <c r="D2" s="3">
        <f>19+3+3</f>
        <v>25</v>
      </c>
      <c r="E2" s="3"/>
      <c r="G2" s="79" t="s">
        <v>162</v>
      </c>
      <c r="H2" s="79" t="s">
        <v>103</v>
      </c>
      <c r="I2" s="79" t="s">
        <v>163</v>
      </c>
      <c r="J2" s="79" t="s">
        <v>80</v>
      </c>
      <c r="K2" s="79" t="s">
        <v>102</v>
      </c>
    </row>
    <row r="3">
      <c r="B3" s="2" t="s">
        <v>4</v>
      </c>
      <c r="E3" s="2"/>
      <c r="G3" s="17" t="s">
        <v>63</v>
      </c>
      <c r="H3" s="2">
        <v>1468.0</v>
      </c>
      <c r="I3" s="17" t="s">
        <v>164</v>
      </c>
      <c r="J3" s="17"/>
      <c r="K3" s="2"/>
    </row>
    <row r="4">
      <c r="B4" s="2" t="s">
        <v>5</v>
      </c>
      <c r="D4" s="2">
        <v>24.0</v>
      </c>
      <c r="E4" s="2"/>
      <c r="G4" s="17" t="s">
        <v>62</v>
      </c>
      <c r="H4" s="17">
        <f>3425-979</f>
        <v>2446</v>
      </c>
      <c r="I4" s="17"/>
      <c r="J4" s="17"/>
      <c r="K4" s="17"/>
    </row>
    <row r="5">
      <c r="B5" s="2" t="s">
        <v>6</v>
      </c>
      <c r="C5">
        <f>2+2+35</f>
        <v>39</v>
      </c>
      <c r="D5" s="4">
        <f>8+62+65+91</f>
        <v>226</v>
      </c>
      <c r="E5" s="4"/>
      <c r="G5" s="17" t="s">
        <v>63</v>
      </c>
      <c r="H5" s="17">
        <v>979.0</v>
      </c>
      <c r="I5" s="80"/>
      <c r="J5" s="17"/>
      <c r="K5" s="17"/>
    </row>
    <row r="6">
      <c r="A6" s="1" t="s">
        <v>7</v>
      </c>
      <c r="B6" s="2" t="s">
        <v>8</v>
      </c>
      <c r="D6" s="4"/>
      <c r="E6" s="4"/>
      <c r="G6" s="17"/>
      <c r="H6" s="17"/>
      <c r="I6" s="17"/>
      <c r="J6" s="17"/>
      <c r="K6" s="17"/>
    </row>
    <row r="7">
      <c r="B7" s="2" t="s">
        <v>165</v>
      </c>
      <c r="C7">
        <f>30+21</f>
        <v>51</v>
      </c>
      <c r="D7" s="4"/>
      <c r="E7" s="4"/>
      <c r="G7" s="17"/>
      <c r="H7" s="17">
        <f>sum(H5, H4, H3)</f>
        <v>4893</v>
      </c>
      <c r="I7" s="17" t="s">
        <v>166</v>
      </c>
      <c r="J7" s="17"/>
      <c r="K7" s="17"/>
    </row>
    <row r="8">
      <c r="A8" s="5" t="s">
        <v>10</v>
      </c>
      <c r="B8" s="6"/>
      <c r="C8" s="5">
        <f t="shared" ref="C8:D8" si="1">SUM(C2:C7)</f>
        <v>90</v>
      </c>
      <c r="D8" s="5">
        <f t="shared" si="1"/>
        <v>275</v>
      </c>
      <c r="E8" s="5"/>
      <c r="F8" s="2"/>
      <c r="G8" s="17" t="s">
        <v>62</v>
      </c>
      <c r="H8" s="17">
        <v>1178.0</v>
      </c>
      <c r="I8" s="17"/>
      <c r="J8" s="17"/>
      <c r="K8" s="17"/>
    </row>
    <row r="9">
      <c r="B9" s="2" t="s">
        <v>11</v>
      </c>
      <c r="C9" s="2"/>
      <c r="D9" s="2">
        <v>22.0</v>
      </c>
      <c r="E9" s="2"/>
      <c r="G9" s="17"/>
      <c r="H9" s="17"/>
      <c r="I9" s="17"/>
      <c r="J9" s="17"/>
      <c r="K9" s="17"/>
    </row>
    <row r="10">
      <c r="B10" s="2" t="s">
        <v>12</v>
      </c>
      <c r="D10" s="2"/>
      <c r="E10" s="2"/>
      <c r="F10" s="7"/>
      <c r="G10" s="17"/>
      <c r="H10" s="17"/>
      <c r="I10" s="17"/>
      <c r="J10" s="17"/>
      <c r="K10" s="17"/>
    </row>
    <row r="11">
      <c r="B11" s="2" t="s">
        <v>13</v>
      </c>
      <c r="D11" s="2"/>
      <c r="E11" s="2"/>
      <c r="G11" s="17"/>
      <c r="H11" s="17"/>
      <c r="I11" s="17"/>
      <c r="J11" s="17"/>
      <c r="K11" s="17"/>
    </row>
    <row r="12">
      <c r="B12" s="2" t="s">
        <v>14</v>
      </c>
      <c r="C12" s="2"/>
      <c r="D12" s="2">
        <v>172.0</v>
      </c>
      <c r="E12" s="2"/>
    </row>
    <row r="13">
      <c r="B13" s="2" t="s">
        <v>15</v>
      </c>
      <c r="C13" s="2">
        <v>9.0</v>
      </c>
      <c r="D13" s="2">
        <f>34+3</f>
        <v>37</v>
      </c>
      <c r="E13" s="2"/>
      <c r="H13" s="2"/>
      <c r="J13" s="81"/>
    </row>
    <row r="14">
      <c r="B14" s="2" t="s">
        <v>16</v>
      </c>
      <c r="C14" s="2"/>
      <c r="D14" s="2"/>
      <c r="E14" s="2"/>
      <c r="H14" s="2"/>
      <c r="I14" s="2"/>
    </row>
    <row r="15">
      <c r="B15" s="2" t="s">
        <v>17</v>
      </c>
      <c r="C15" s="2"/>
      <c r="D15" s="2"/>
      <c r="E15" s="2"/>
      <c r="H15" s="2"/>
      <c r="I15" s="2"/>
    </row>
    <row r="16">
      <c r="B16" s="2" t="s">
        <v>18</v>
      </c>
      <c r="C16" s="2"/>
      <c r="D16" s="2"/>
      <c r="E16" s="2"/>
      <c r="H16" s="2"/>
      <c r="I16" s="2"/>
    </row>
    <row r="17">
      <c r="A17" s="5" t="s">
        <v>10</v>
      </c>
      <c r="B17" s="6"/>
      <c r="C17" s="5">
        <f t="shared" ref="C17:D17" si="2">SUM(C9:C16)</f>
        <v>9</v>
      </c>
      <c r="D17" s="5">
        <f t="shared" si="2"/>
        <v>231</v>
      </c>
      <c r="E17" s="5"/>
      <c r="H17" s="2"/>
      <c r="I17" s="2"/>
    </row>
    <row r="18">
      <c r="A18" s="1" t="s">
        <v>19</v>
      </c>
      <c r="B18" s="2" t="s">
        <v>20</v>
      </c>
      <c r="D18" s="2">
        <f>20+55</f>
        <v>75</v>
      </c>
      <c r="E18" s="2"/>
      <c r="H18" s="2"/>
      <c r="I18" s="2"/>
    </row>
    <row r="19">
      <c r="B19" s="2" t="s">
        <v>21</v>
      </c>
      <c r="D19" s="2">
        <f>11+27+17</f>
        <v>55</v>
      </c>
      <c r="E19" s="2"/>
      <c r="F19" s="2"/>
      <c r="H19" s="2"/>
      <c r="I19" s="2"/>
    </row>
    <row r="20">
      <c r="B20" s="2" t="s">
        <v>22</v>
      </c>
      <c r="H20" s="2"/>
      <c r="I20" s="2"/>
    </row>
    <row r="21">
      <c r="B21" s="2"/>
      <c r="D21" s="3"/>
      <c r="E21" s="3"/>
      <c r="H21" s="2"/>
      <c r="I21" s="2"/>
    </row>
    <row r="22">
      <c r="B22" s="2" t="s">
        <v>24</v>
      </c>
      <c r="D22" s="2"/>
      <c r="E22" s="2"/>
      <c r="F22" s="2"/>
      <c r="H22" s="2"/>
      <c r="I22" s="2"/>
    </row>
    <row r="23">
      <c r="A23" s="1" t="s">
        <v>23</v>
      </c>
      <c r="B23" s="2" t="s">
        <v>25</v>
      </c>
      <c r="C23">
        <f>72</f>
        <v>72</v>
      </c>
    </row>
    <row r="24">
      <c r="B24" s="2" t="s">
        <v>26</v>
      </c>
      <c r="H24" s="2"/>
      <c r="I24" s="2"/>
    </row>
    <row r="25">
      <c r="A25" s="5" t="s">
        <v>10</v>
      </c>
      <c r="B25" s="5"/>
      <c r="C25" s="6">
        <f t="shared" ref="C25:D25" si="3">sum(C18:C24)</f>
        <v>72</v>
      </c>
      <c r="D25" s="6">
        <f t="shared" si="3"/>
        <v>130</v>
      </c>
      <c r="E25" s="6"/>
    </row>
    <row r="26">
      <c r="B26" s="2" t="s">
        <v>27</v>
      </c>
      <c r="D26" s="2"/>
    </row>
    <row r="27">
      <c r="B27" s="2" t="s">
        <v>28</v>
      </c>
      <c r="C27" s="2"/>
    </row>
    <row r="28">
      <c r="B28" s="2" t="s">
        <v>29</v>
      </c>
      <c r="C28" s="9"/>
      <c r="D28" s="10"/>
      <c r="E28" s="10"/>
    </row>
    <row r="29">
      <c r="A29" s="5" t="s">
        <v>10</v>
      </c>
      <c r="B29" s="5"/>
      <c r="C29" s="6">
        <f t="shared" ref="C29:D29" si="4">SUM(C26:C28)</f>
        <v>0</v>
      </c>
      <c r="D29" s="6">
        <f t="shared" si="4"/>
        <v>0</v>
      </c>
      <c r="E29" s="6"/>
      <c r="H29" s="2" t="s">
        <v>30</v>
      </c>
    </row>
    <row r="30">
      <c r="A30" s="11" t="s">
        <v>10</v>
      </c>
    </row>
    <row r="31">
      <c r="A31" s="11" t="s">
        <v>31</v>
      </c>
      <c r="B31" s="12"/>
      <c r="C31" s="12"/>
      <c r="D31">
        <f>C8+C17+C25+C29</f>
        <v>171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1" t="s">
        <v>32</v>
      </c>
      <c r="B32" s="13"/>
      <c r="C32" s="13"/>
      <c r="D32" s="3">
        <f>D8+D17+D25+D29</f>
        <v>636</v>
      </c>
      <c r="E32" s="3"/>
    </row>
    <row r="33">
      <c r="A33" s="11" t="s">
        <v>33</v>
      </c>
      <c r="B33" s="13"/>
      <c r="C33" s="13"/>
      <c r="D33" s="4">
        <f>(D32-D31)/2</f>
        <v>232.5</v>
      </c>
      <c r="E33" s="13"/>
    </row>
    <row r="34">
      <c r="A34" s="14"/>
    </row>
    <row r="35">
      <c r="A35" s="2" t="s">
        <v>34</v>
      </c>
    </row>
    <row r="36">
      <c r="A36" s="1" t="s">
        <v>35</v>
      </c>
      <c r="B36" s="1" t="s">
        <v>36</v>
      </c>
      <c r="F36" s="1" t="s">
        <v>37</v>
      </c>
      <c r="G36" s="1" t="s">
        <v>36</v>
      </c>
      <c r="I36" s="15" t="s">
        <v>38</v>
      </c>
      <c r="J36" s="16">
        <f>B43-G43</f>
        <v>-680.5</v>
      </c>
    </row>
    <row r="37">
      <c r="A37" s="17" t="s">
        <v>39</v>
      </c>
      <c r="B37" s="18">
        <f>D33</f>
        <v>232.5</v>
      </c>
      <c r="F37" s="17" t="s">
        <v>167</v>
      </c>
      <c r="G37" s="16"/>
    </row>
    <row r="38">
      <c r="A38" s="17" t="s">
        <v>41</v>
      </c>
      <c r="B38" s="17">
        <v>-389.0</v>
      </c>
      <c r="F38" s="19" t="s">
        <v>168</v>
      </c>
      <c r="G38" s="17">
        <f>600</f>
        <v>600</v>
      </c>
      <c r="I38" s="3" t="s">
        <v>42</v>
      </c>
    </row>
    <row r="39">
      <c r="A39" s="17" t="s">
        <v>43</v>
      </c>
      <c r="B39" s="17">
        <v>115.0</v>
      </c>
      <c r="D39" s="2"/>
      <c r="E39" s="2"/>
      <c r="F39" s="17"/>
      <c r="G39" s="16">
        <v>39.0</v>
      </c>
      <c r="H39" s="2"/>
      <c r="I39" s="15" t="s">
        <v>44</v>
      </c>
      <c r="J39" s="20">
        <f>D17/2</f>
        <v>115.5</v>
      </c>
    </row>
    <row r="40">
      <c r="A40" s="17"/>
      <c r="B40" s="17"/>
      <c r="F40" s="17"/>
      <c r="G40" s="16"/>
      <c r="I40" s="15" t="s">
        <v>45</v>
      </c>
      <c r="J40" s="20">
        <f>D8/2</f>
        <v>137.5</v>
      </c>
    </row>
    <row r="41">
      <c r="A41" s="17"/>
      <c r="B41" s="17"/>
      <c r="F41" s="20"/>
      <c r="G41" s="17"/>
      <c r="I41" s="15" t="s">
        <v>46</v>
      </c>
      <c r="J41" s="20">
        <f>D25/2</f>
        <v>65</v>
      </c>
    </row>
    <row r="42">
      <c r="A42" s="17"/>
      <c r="B42" s="21"/>
      <c r="F42" s="17"/>
      <c r="G42" s="17"/>
      <c r="I42" s="15" t="s">
        <v>47</v>
      </c>
      <c r="J42" s="20">
        <f>D29/2</f>
        <v>0</v>
      </c>
    </row>
    <row r="43">
      <c r="A43" s="17" t="s">
        <v>10</v>
      </c>
      <c r="B43" s="22">
        <f>sum(B37:B42)</f>
        <v>-41.5</v>
      </c>
      <c r="F43" s="17" t="s">
        <v>10</v>
      </c>
      <c r="G43" s="18">
        <f>sum(G37:G42)</f>
        <v>639</v>
      </c>
      <c r="I43" s="15" t="s">
        <v>48</v>
      </c>
      <c r="J43" s="20">
        <f>sum(J39:J42)</f>
        <v>318</v>
      </c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</sheetData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1" t="s">
        <v>161</v>
      </c>
      <c r="H1" s="2"/>
    </row>
    <row r="2">
      <c r="A2" s="1" t="s">
        <v>2</v>
      </c>
      <c r="B2" s="2" t="s">
        <v>3</v>
      </c>
      <c r="C2">
        <f>3</f>
        <v>3</v>
      </c>
      <c r="D2" s="3">
        <f>15+3+12+15</f>
        <v>45</v>
      </c>
      <c r="E2" s="3"/>
      <c r="G2" s="79" t="s">
        <v>162</v>
      </c>
      <c r="H2" s="79" t="s">
        <v>103</v>
      </c>
      <c r="I2" s="79" t="s">
        <v>163</v>
      </c>
      <c r="J2" s="79" t="s">
        <v>80</v>
      </c>
      <c r="K2" s="79" t="s">
        <v>102</v>
      </c>
    </row>
    <row r="3">
      <c r="B3" s="2" t="s">
        <v>4</v>
      </c>
      <c r="E3" s="2"/>
      <c r="G3" s="17" t="s">
        <v>63</v>
      </c>
      <c r="H3" s="2">
        <v>1468.0</v>
      </c>
      <c r="I3" s="17" t="s">
        <v>164</v>
      </c>
      <c r="J3" s="17"/>
      <c r="K3" s="2"/>
    </row>
    <row r="4">
      <c r="B4" s="2" t="s">
        <v>5</v>
      </c>
      <c r="E4" s="2"/>
      <c r="G4" s="17" t="s">
        <v>62</v>
      </c>
      <c r="H4" s="17">
        <f>3425-979</f>
        <v>2446</v>
      </c>
      <c r="I4" s="17"/>
      <c r="J4" s="17"/>
      <c r="K4" s="17"/>
    </row>
    <row r="5">
      <c r="B5" s="2" t="s">
        <v>6</v>
      </c>
      <c r="C5">
        <f>74</f>
        <v>74</v>
      </c>
      <c r="D5" s="4">
        <f>101+83+137+30+89+19+100</f>
        <v>559</v>
      </c>
      <c r="E5" s="4"/>
      <c r="G5" s="17" t="s">
        <v>63</v>
      </c>
      <c r="H5" s="17">
        <v>979.0</v>
      </c>
      <c r="I5" s="80"/>
      <c r="J5" s="17"/>
      <c r="K5" s="17"/>
    </row>
    <row r="6">
      <c r="A6" s="1" t="s">
        <v>7</v>
      </c>
      <c r="B6" s="2" t="s">
        <v>8</v>
      </c>
      <c r="D6" s="4"/>
      <c r="E6" s="4"/>
      <c r="G6" s="17"/>
      <c r="H6" s="17"/>
      <c r="I6" s="17"/>
      <c r="J6" s="17"/>
      <c r="K6" s="17"/>
    </row>
    <row r="7">
      <c r="B7" s="2" t="s">
        <v>165</v>
      </c>
      <c r="C7" s="2">
        <f>29</f>
        <v>29</v>
      </c>
      <c r="D7" s="4">
        <v>36.0</v>
      </c>
      <c r="E7" s="4"/>
      <c r="G7" s="17"/>
      <c r="H7" s="17">
        <f>sum(H5, H4, H3)</f>
        <v>4893</v>
      </c>
      <c r="I7" s="17" t="s">
        <v>166</v>
      </c>
      <c r="J7" s="17"/>
      <c r="K7" s="17"/>
    </row>
    <row r="8">
      <c r="A8" s="5" t="s">
        <v>10</v>
      </c>
      <c r="B8" s="6"/>
      <c r="C8" s="5">
        <f t="shared" ref="C8:D8" si="1">SUM(C2:C7)</f>
        <v>106</v>
      </c>
      <c r="D8" s="5">
        <f t="shared" si="1"/>
        <v>640</v>
      </c>
      <c r="E8" s="5"/>
      <c r="F8" s="2"/>
      <c r="G8" s="17" t="s">
        <v>62</v>
      </c>
      <c r="H8" s="17">
        <v>1178.0</v>
      </c>
      <c r="I8" s="17"/>
      <c r="J8" s="17"/>
      <c r="K8" s="17"/>
    </row>
    <row r="9">
      <c r="B9" s="2" t="s">
        <v>11</v>
      </c>
      <c r="C9" s="2"/>
      <c r="D9" s="2">
        <v>22.0</v>
      </c>
      <c r="E9" s="2"/>
      <c r="G9" s="17"/>
      <c r="H9" s="17"/>
      <c r="I9" s="17"/>
      <c r="J9" s="17"/>
      <c r="K9" s="17"/>
    </row>
    <row r="10">
      <c r="B10" s="2" t="s">
        <v>12</v>
      </c>
      <c r="D10" s="2"/>
      <c r="E10" s="2"/>
      <c r="F10" s="7"/>
      <c r="G10" s="17"/>
      <c r="H10" s="17"/>
      <c r="I10" s="17"/>
      <c r="J10" s="17"/>
      <c r="K10" s="17"/>
    </row>
    <row r="11">
      <c r="B11" s="2" t="s">
        <v>13</v>
      </c>
      <c r="D11" s="2"/>
      <c r="E11" s="2"/>
      <c r="G11" s="17"/>
      <c r="H11" s="17"/>
      <c r="I11" s="17"/>
      <c r="J11" s="17"/>
      <c r="K11" s="17"/>
    </row>
    <row r="12">
      <c r="B12" s="2" t="s">
        <v>14</v>
      </c>
      <c r="C12" s="2"/>
      <c r="D12" s="2">
        <v>172.0</v>
      </c>
      <c r="E12" s="2"/>
    </row>
    <row r="13">
      <c r="B13" s="2" t="s">
        <v>15</v>
      </c>
      <c r="D13" s="2">
        <v>34.0</v>
      </c>
      <c r="E13" s="2"/>
      <c r="H13" s="2"/>
      <c r="J13" s="81"/>
    </row>
    <row r="14">
      <c r="B14" s="2" t="s">
        <v>16</v>
      </c>
      <c r="C14" s="2"/>
      <c r="D14" s="2"/>
      <c r="E14" s="2"/>
      <c r="H14" s="2"/>
      <c r="I14" s="2"/>
    </row>
    <row r="15">
      <c r="B15" s="2" t="s">
        <v>17</v>
      </c>
      <c r="C15" s="2"/>
      <c r="D15" s="2"/>
      <c r="E15" s="2"/>
      <c r="H15" s="2"/>
      <c r="I15" s="2"/>
    </row>
    <row r="16">
      <c r="B16" s="2" t="s">
        <v>18</v>
      </c>
      <c r="C16" s="2"/>
      <c r="D16" s="2"/>
      <c r="E16" s="2"/>
      <c r="H16" s="2"/>
      <c r="I16" s="2"/>
    </row>
    <row r="17">
      <c r="A17" s="5" t="s">
        <v>10</v>
      </c>
      <c r="B17" s="6"/>
      <c r="C17" s="5">
        <f t="shared" ref="C17:D17" si="2">SUM(C9:C16)</f>
        <v>0</v>
      </c>
      <c r="D17" s="5">
        <f t="shared" si="2"/>
        <v>228</v>
      </c>
      <c r="E17" s="5"/>
      <c r="H17" s="2"/>
      <c r="I17" s="2"/>
    </row>
    <row r="18">
      <c r="A18" s="1" t="s">
        <v>19</v>
      </c>
      <c r="B18" s="2" t="s">
        <v>20</v>
      </c>
      <c r="E18" s="2"/>
      <c r="H18" s="2"/>
      <c r="I18" s="2"/>
    </row>
    <row r="19">
      <c r="B19" s="2" t="s">
        <v>21</v>
      </c>
      <c r="D19" s="2">
        <f>9+73</f>
        <v>82</v>
      </c>
      <c r="E19" s="2"/>
      <c r="F19" s="2"/>
      <c r="H19" s="2"/>
      <c r="I19" s="2"/>
    </row>
    <row r="20">
      <c r="B20" s="2" t="s">
        <v>22</v>
      </c>
      <c r="H20" s="2"/>
      <c r="I20" s="2"/>
    </row>
    <row r="21">
      <c r="B21" s="2"/>
      <c r="D21" s="3"/>
      <c r="E21" s="3"/>
      <c r="H21" s="2"/>
      <c r="I21" s="2"/>
    </row>
    <row r="22">
      <c r="B22" s="2" t="s">
        <v>24</v>
      </c>
      <c r="D22" s="2">
        <v>30.0</v>
      </c>
      <c r="E22" s="2"/>
      <c r="F22" s="2"/>
      <c r="H22" s="2"/>
      <c r="I22" s="2"/>
    </row>
    <row r="23">
      <c r="A23" s="1" t="s">
        <v>23</v>
      </c>
      <c r="B23" s="2" t="s">
        <v>25</v>
      </c>
    </row>
    <row r="24">
      <c r="B24" s="2" t="s">
        <v>26</v>
      </c>
      <c r="H24" s="2"/>
      <c r="I24" s="2"/>
    </row>
    <row r="25">
      <c r="A25" s="5" t="s">
        <v>10</v>
      </c>
      <c r="B25" s="5"/>
      <c r="C25" s="6">
        <f t="shared" ref="C25:D25" si="3">sum(C18:C24)</f>
        <v>0</v>
      </c>
      <c r="D25" s="6">
        <f t="shared" si="3"/>
        <v>112</v>
      </c>
      <c r="E25" s="6"/>
    </row>
    <row r="26">
      <c r="B26" s="2" t="s">
        <v>27</v>
      </c>
      <c r="D26" s="2"/>
    </row>
    <row r="27">
      <c r="B27" s="2" t="s">
        <v>28</v>
      </c>
      <c r="C27" s="2"/>
    </row>
    <row r="28">
      <c r="B28" s="2" t="s">
        <v>29</v>
      </c>
      <c r="C28" s="9"/>
      <c r="D28" s="10"/>
      <c r="E28" s="10"/>
    </row>
    <row r="29">
      <c r="A29" s="5" t="s">
        <v>10</v>
      </c>
      <c r="B29" s="5"/>
      <c r="C29" s="6">
        <f>SUM(C25:C28)</f>
        <v>0</v>
      </c>
      <c r="D29" s="6">
        <f>SUM(D26:D28)</f>
        <v>0</v>
      </c>
      <c r="E29" s="6"/>
      <c r="H29" s="2" t="s">
        <v>30</v>
      </c>
    </row>
    <row r="30">
      <c r="A30" s="11" t="s">
        <v>10</v>
      </c>
    </row>
    <row r="31">
      <c r="A31" s="11" t="s">
        <v>31</v>
      </c>
      <c r="B31" s="12"/>
      <c r="C31" s="12"/>
      <c r="D31">
        <f>C8+C17+C25+C29</f>
        <v>106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1" t="s">
        <v>32</v>
      </c>
      <c r="B32" s="13"/>
      <c r="C32" s="13"/>
      <c r="D32" s="3">
        <f>D8+D17+D25+D29</f>
        <v>980</v>
      </c>
      <c r="E32" s="3"/>
    </row>
    <row r="33">
      <c r="A33" s="11" t="s">
        <v>33</v>
      </c>
      <c r="B33" s="13"/>
      <c r="C33" s="13"/>
      <c r="D33" s="4">
        <f>(D32-D31)/2</f>
        <v>437</v>
      </c>
      <c r="E33" s="13"/>
    </row>
    <row r="34">
      <c r="A34" s="14"/>
    </row>
    <row r="35">
      <c r="A35" s="2" t="s">
        <v>34</v>
      </c>
    </row>
    <row r="36">
      <c r="A36" s="1" t="s">
        <v>35</v>
      </c>
      <c r="B36" s="1" t="s">
        <v>36</v>
      </c>
      <c r="F36" s="1" t="s">
        <v>37</v>
      </c>
      <c r="G36" s="1" t="s">
        <v>36</v>
      </c>
      <c r="I36" s="15" t="s">
        <v>38</v>
      </c>
      <c r="J36" s="16">
        <f>B43-G43</f>
        <v>-129</v>
      </c>
    </row>
    <row r="37">
      <c r="A37" s="17" t="s">
        <v>39</v>
      </c>
      <c r="B37" s="18">
        <f>D33</f>
        <v>437</v>
      </c>
      <c r="F37" s="17" t="s">
        <v>167</v>
      </c>
      <c r="G37" s="16"/>
    </row>
    <row r="38">
      <c r="A38" s="17" t="s">
        <v>41</v>
      </c>
      <c r="B38" s="17">
        <v>-681.0</v>
      </c>
      <c r="F38" s="19" t="s">
        <v>168</v>
      </c>
      <c r="G38" s="17"/>
      <c r="I38" s="3" t="s">
        <v>42</v>
      </c>
    </row>
    <row r="39">
      <c r="A39" s="17" t="s">
        <v>43</v>
      </c>
      <c r="B39" s="17">
        <v>115.0</v>
      </c>
      <c r="D39" s="2"/>
      <c r="E39" s="2"/>
      <c r="F39" s="17"/>
      <c r="G39" s="16"/>
      <c r="H39" s="2"/>
      <c r="I39" s="15" t="s">
        <v>44</v>
      </c>
      <c r="J39" s="20">
        <f>D17/2</f>
        <v>114</v>
      </c>
    </row>
    <row r="40">
      <c r="A40" s="17"/>
      <c r="B40" s="17"/>
      <c r="F40" s="17"/>
      <c r="G40" s="16"/>
      <c r="I40" s="15" t="s">
        <v>45</v>
      </c>
      <c r="J40" s="20">
        <f>D8/2</f>
        <v>320</v>
      </c>
    </row>
    <row r="41">
      <c r="A41" s="17"/>
      <c r="B41" s="17"/>
      <c r="F41" s="20"/>
      <c r="G41" s="17"/>
      <c r="I41" s="15" t="s">
        <v>46</v>
      </c>
      <c r="J41" s="20">
        <f>D25/2</f>
        <v>56</v>
      </c>
    </row>
    <row r="42">
      <c r="A42" s="17"/>
      <c r="B42" s="21" t="s">
        <v>174</v>
      </c>
      <c r="F42" s="17"/>
      <c r="G42" s="17"/>
      <c r="I42" s="15" t="s">
        <v>47</v>
      </c>
      <c r="J42" s="20">
        <f>D29/2</f>
        <v>0</v>
      </c>
    </row>
    <row r="43">
      <c r="A43" s="17" t="s">
        <v>10</v>
      </c>
      <c r="B43" s="22">
        <f>sum(B37:B42)</f>
        <v>-129</v>
      </c>
      <c r="F43" s="17" t="s">
        <v>10</v>
      </c>
      <c r="G43" s="18">
        <f>sum(G37:G42)</f>
        <v>0</v>
      </c>
      <c r="I43" s="15" t="s">
        <v>48</v>
      </c>
      <c r="J43" s="20">
        <f>sum(J39:J42)</f>
        <v>490</v>
      </c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</sheetData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1" t="s">
        <v>161</v>
      </c>
      <c r="H1" s="2"/>
    </row>
    <row r="2">
      <c r="A2" s="1" t="s">
        <v>2</v>
      </c>
      <c r="B2" s="2" t="s">
        <v>3</v>
      </c>
      <c r="C2">
        <f>3+3+9</f>
        <v>15</v>
      </c>
      <c r="D2" s="3">
        <f>4+19+3</f>
        <v>26</v>
      </c>
      <c r="E2" s="3"/>
      <c r="G2" s="79" t="s">
        <v>162</v>
      </c>
      <c r="H2" s="79" t="s">
        <v>103</v>
      </c>
      <c r="I2" s="79" t="s">
        <v>163</v>
      </c>
      <c r="J2" s="79" t="s">
        <v>80</v>
      </c>
      <c r="K2" s="79" t="s">
        <v>102</v>
      </c>
    </row>
    <row r="3">
      <c r="B3" s="2" t="s">
        <v>4</v>
      </c>
      <c r="E3" s="2"/>
      <c r="G3" s="17" t="s">
        <v>63</v>
      </c>
      <c r="H3" s="2">
        <v>1468.0</v>
      </c>
      <c r="I3" s="17" t="s">
        <v>164</v>
      </c>
      <c r="J3" s="17"/>
      <c r="K3" s="2"/>
    </row>
    <row r="4">
      <c r="B4" s="2" t="s">
        <v>5</v>
      </c>
      <c r="D4" s="2">
        <v>53.0</v>
      </c>
      <c r="E4" s="2"/>
      <c r="G4" s="17" t="s">
        <v>62</v>
      </c>
      <c r="H4" s="17">
        <f>3425-979</f>
        <v>2446</v>
      </c>
      <c r="I4" s="17"/>
      <c r="J4" s="17"/>
      <c r="K4" s="17"/>
    </row>
    <row r="5">
      <c r="B5" s="2" t="s">
        <v>6</v>
      </c>
      <c r="C5">
        <f>2+3</f>
        <v>5</v>
      </c>
      <c r="D5" s="4">
        <f>127+96+2+85+73</f>
        <v>383</v>
      </c>
      <c r="E5" s="4"/>
      <c r="G5" s="17" t="s">
        <v>63</v>
      </c>
      <c r="H5" s="17">
        <v>979.0</v>
      </c>
      <c r="I5" s="80"/>
      <c r="J5" s="17"/>
      <c r="K5" s="17"/>
    </row>
    <row r="6">
      <c r="A6" s="1" t="s">
        <v>7</v>
      </c>
      <c r="B6" s="2" t="s">
        <v>8</v>
      </c>
      <c r="D6" s="4"/>
      <c r="E6" s="4"/>
      <c r="G6" s="17"/>
      <c r="H6" s="17"/>
      <c r="I6" s="17"/>
      <c r="J6" s="17"/>
      <c r="K6" s="17"/>
    </row>
    <row r="7">
      <c r="B7" s="2" t="s">
        <v>165</v>
      </c>
      <c r="C7" s="2">
        <f>28</f>
        <v>28</v>
      </c>
      <c r="D7" s="4">
        <v>35.0</v>
      </c>
      <c r="E7" s="4"/>
      <c r="G7" s="17"/>
      <c r="H7" s="17">
        <f>sum(H5, H4, H3)</f>
        <v>4893</v>
      </c>
      <c r="I7" s="17" t="s">
        <v>166</v>
      </c>
      <c r="J7" s="17"/>
      <c r="K7" s="17"/>
    </row>
    <row r="8">
      <c r="A8" s="5" t="s">
        <v>10</v>
      </c>
      <c r="B8" s="6"/>
      <c r="C8" s="5">
        <f t="shared" ref="C8:D8" si="1">SUM(C2:C7)</f>
        <v>48</v>
      </c>
      <c r="D8" s="5">
        <f t="shared" si="1"/>
        <v>497</v>
      </c>
      <c r="E8" s="5"/>
      <c r="F8" s="2"/>
      <c r="G8" s="17" t="s">
        <v>62</v>
      </c>
      <c r="H8" s="17">
        <v>1178.0</v>
      </c>
      <c r="I8" s="17"/>
      <c r="J8" s="17"/>
      <c r="K8" s="17"/>
    </row>
    <row r="9">
      <c r="B9" s="2" t="s">
        <v>11</v>
      </c>
      <c r="C9" s="2"/>
      <c r="D9" s="2">
        <v>22.0</v>
      </c>
      <c r="E9" s="2"/>
      <c r="G9" s="17"/>
      <c r="H9" s="17"/>
      <c r="I9" s="17"/>
      <c r="J9" s="17"/>
      <c r="K9" s="17"/>
    </row>
    <row r="10">
      <c r="B10" s="2" t="s">
        <v>12</v>
      </c>
      <c r="D10" s="2"/>
      <c r="E10" s="2"/>
      <c r="F10" s="7"/>
      <c r="G10" s="17"/>
      <c r="H10" s="17"/>
      <c r="I10" s="17"/>
      <c r="J10" s="17"/>
      <c r="K10" s="17"/>
    </row>
    <row r="11">
      <c r="B11" s="2" t="s">
        <v>13</v>
      </c>
      <c r="D11" s="2"/>
      <c r="E11" s="2"/>
      <c r="G11" s="17"/>
      <c r="H11" s="17"/>
      <c r="I11" s="17"/>
      <c r="J11" s="17"/>
      <c r="K11" s="17"/>
    </row>
    <row r="12">
      <c r="B12" s="2" t="s">
        <v>14</v>
      </c>
      <c r="C12" s="2"/>
      <c r="D12" s="2">
        <v>172.0</v>
      </c>
      <c r="E12" s="2"/>
    </row>
    <row r="13">
      <c r="B13" s="2" t="s">
        <v>15</v>
      </c>
      <c r="D13" s="2">
        <v>34.0</v>
      </c>
      <c r="E13" s="2"/>
      <c r="H13" s="2"/>
      <c r="J13" s="81"/>
    </row>
    <row r="14">
      <c r="B14" s="2" t="s">
        <v>16</v>
      </c>
      <c r="C14" s="2"/>
      <c r="D14" s="2"/>
      <c r="E14" s="2"/>
      <c r="H14" s="2"/>
      <c r="I14" s="2"/>
    </row>
    <row r="15">
      <c r="B15" s="2" t="s">
        <v>17</v>
      </c>
      <c r="C15" s="2"/>
      <c r="D15" s="2"/>
      <c r="E15" s="2"/>
      <c r="H15" s="2"/>
      <c r="I15" s="2"/>
    </row>
    <row r="16">
      <c r="B16" s="2" t="s">
        <v>18</v>
      </c>
      <c r="C16" s="2"/>
      <c r="D16" s="2"/>
      <c r="E16" s="2"/>
      <c r="H16" s="2"/>
      <c r="I16" s="2"/>
    </row>
    <row r="17">
      <c r="A17" s="5" t="s">
        <v>10</v>
      </c>
      <c r="B17" s="6"/>
      <c r="C17" s="5">
        <f t="shared" ref="C17:D17" si="2">SUM(C9:C16)</f>
        <v>0</v>
      </c>
      <c r="D17" s="5">
        <f t="shared" si="2"/>
        <v>228</v>
      </c>
      <c r="E17" s="5"/>
      <c r="H17" s="2"/>
      <c r="I17" s="2"/>
    </row>
    <row r="18">
      <c r="A18" s="1" t="s">
        <v>19</v>
      </c>
      <c r="B18" s="2" t="s">
        <v>20</v>
      </c>
      <c r="C18">
        <f>20</f>
        <v>20</v>
      </c>
      <c r="D18" s="2">
        <f>51+30+86</f>
        <v>167</v>
      </c>
      <c r="E18" s="2"/>
      <c r="H18" s="2"/>
      <c r="I18" s="2"/>
    </row>
    <row r="19">
      <c r="B19" s="2" t="s">
        <v>21</v>
      </c>
      <c r="D19" s="2">
        <f>17+18</f>
        <v>35</v>
      </c>
      <c r="E19" s="2"/>
      <c r="F19" s="2"/>
      <c r="H19" s="2"/>
      <c r="I19" s="2"/>
    </row>
    <row r="20">
      <c r="B20" s="2" t="s">
        <v>22</v>
      </c>
      <c r="H20" s="2"/>
      <c r="I20" s="2"/>
    </row>
    <row r="21">
      <c r="B21" s="2"/>
      <c r="D21" s="3"/>
      <c r="E21" s="3"/>
      <c r="H21" s="2"/>
      <c r="I21" s="2"/>
    </row>
    <row r="22">
      <c r="B22" s="2" t="s">
        <v>24</v>
      </c>
      <c r="D22" s="2"/>
      <c r="E22" s="2"/>
      <c r="F22" s="2"/>
      <c r="H22" s="2"/>
      <c r="I22" s="2"/>
    </row>
    <row r="23">
      <c r="A23" s="1" t="s">
        <v>23</v>
      </c>
      <c r="B23" s="2" t="s">
        <v>25</v>
      </c>
      <c r="D23" s="2">
        <v>57.0</v>
      </c>
      <c r="E23" s="2" t="s">
        <v>175</v>
      </c>
    </row>
    <row r="24">
      <c r="B24" s="2" t="s">
        <v>26</v>
      </c>
      <c r="H24" s="2"/>
      <c r="I24" s="2"/>
    </row>
    <row r="25">
      <c r="A25" s="5" t="s">
        <v>10</v>
      </c>
      <c r="B25" s="5"/>
      <c r="C25" s="6">
        <f t="shared" ref="C25:D25" si="3">sum(C18:C24)</f>
        <v>20</v>
      </c>
      <c r="D25" s="6">
        <f t="shared" si="3"/>
        <v>259</v>
      </c>
      <c r="E25" s="6"/>
    </row>
    <row r="26">
      <c r="B26" s="2" t="s">
        <v>27</v>
      </c>
      <c r="C26">
        <f>35</f>
        <v>35</v>
      </c>
      <c r="D26" s="2">
        <f>71+22+30+20+20+60</f>
        <v>223</v>
      </c>
    </row>
    <row r="27">
      <c r="B27" s="2" t="s">
        <v>28</v>
      </c>
      <c r="C27" s="2">
        <f>420</f>
        <v>420</v>
      </c>
    </row>
    <row r="28">
      <c r="B28" s="2" t="s">
        <v>29</v>
      </c>
      <c r="C28" s="9"/>
      <c r="D28" s="10"/>
      <c r="E28" s="10"/>
      <c r="H28" s="2" t="s">
        <v>176</v>
      </c>
    </row>
    <row r="29">
      <c r="A29" s="5" t="s">
        <v>10</v>
      </c>
      <c r="B29" s="5"/>
      <c r="C29" s="6">
        <f t="shared" ref="C29:D29" si="4">SUM(C26:C28)</f>
        <v>455</v>
      </c>
      <c r="D29" s="6">
        <f t="shared" si="4"/>
        <v>223</v>
      </c>
      <c r="E29" s="6"/>
      <c r="H29" s="2" t="s">
        <v>30</v>
      </c>
    </row>
    <row r="30">
      <c r="A30" s="11" t="s">
        <v>10</v>
      </c>
    </row>
    <row r="31">
      <c r="A31" s="11" t="s">
        <v>31</v>
      </c>
      <c r="B31" s="12"/>
      <c r="C31" s="12"/>
      <c r="D31">
        <f>C8+C17+C25+C29</f>
        <v>523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1" t="s">
        <v>32</v>
      </c>
      <c r="B32" s="13"/>
      <c r="C32" s="13"/>
      <c r="D32" s="3">
        <f>D8+D17+D25+D29</f>
        <v>1207</v>
      </c>
      <c r="E32" s="3"/>
    </row>
    <row r="33">
      <c r="A33" s="11" t="s">
        <v>33</v>
      </c>
      <c r="B33" s="13"/>
      <c r="C33" s="13"/>
      <c r="D33" s="4">
        <f>(D32-D31)/2</f>
        <v>342</v>
      </c>
      <c r="E33" s="13"/>
    </row>
    <row r="34">
      <c r="A34" s="14"/>
    </row>
    <row r="35">
      <c r="A35" s="2" t="s">
        <v>34</v>
      </c>
    </row>
    <row r="36">
      <c r="A36" s="1" t="s">
        <v>35</v>
      </c>
      <c r="B36" s="1" t="s">
        <v>36</v>
      </c>
      <c r="F36" s="1" t="s">
        <v>37</v>
      </c>
      <c r="G36" s="1" t="s">
        <v>36</v>
      </c>
      <c r="I36" s="15" t="s">
        <v>38</v>
      </c>
      <c r="J36" s="16">
        <f>B43-G43</f>
        <v>-404</v>
      </c>
    </row>
    <row r="37">
      <c r="A37" s="17" t="s">
        <v>39</v>
      </c>
      <c r="B37" s="18">
        <f>D33</f>
        <v>342</v>
      </c>
      <c r="F37" s="17" t="s">
        <v>167</v>
      </c>
      <c r="G37" s="16"/>
    </row>
    <row r="38">
      <c r="A38" s="17" t="s">
        <v>41</v>
      </c>
      <c r="B38" s="17">
        <v>-129.0</v>
      </c>
      <c r="F38" s="19" t="s">
        <v>176</v>
      </c>
      <c r="G38" s="17">
        <v>300.0</v>
      </c>
      <c r="I38" s="3" t="s">
        <v>42</v>
      </c>
    </row>
    <row r="39">
      <c r="A39" s="17" t="s">
        <v>43</v>
      </c>
      <c r="B39" s="17">
        <v>115.0</v>
      </c>
      <c r="D39" s="2"/>
      <c r="E39" s="2"/>
      <c r="F39" s="17" t="s">
        <v>177</v>
      </c>
      <c r="G39" s="16">
        <v>380.0</v>
      </c>
      <c r="H39" s="2"/>
      <c r="I39" s="15" t="s">
        <v>44</v>
      </c>
      <c r="J39" s="20">
        <f>D17/2</f>
        <v>114</v>
      </c>
    </row>
    <row r="40">
      <c r="A40" s="17" t="s">
        <v>178</v>
      </c>
      <c r="B40" s="17">
        <v>8.0</v>
      </c>
      <c r="F40" s="17" t="s">
        <v>179</v>
      </c>
      <c r="G40" s="16">
        <v>30.0</v>
      </c>
      <c r="I40" s="15" t="s">
        <v>45</v>
      </c>
      <c r="J40" s="20">
        <f>D8/2</f>
        <v>248.5</v>
      </c>
    </row>
    <row r="41">
      <c r="A41" s="17"/>
      <c r="B41" s="17"/>
      <c r="F41" s="17" t="s">
        <v>180</v>
      </c>
      <c r="G41" s="17">
        <f>30</f>
        <v>30</v>
      </c>
      <c r="I41" s="15" t="s">
        <v>46</v>
      </c>
      <c r="J41" s="20">
        <f>D25/2</f>
        <v>129.5</v>
      </c>
    </row>
    <row r="42">
      <c r="A42" s="17"/>
      <c r="B42" s="21"/>
      <c r="F42" s="17"/>
      <c r="G42" s="17"/>
      <c r="I42" s="15" t="s">
        <v>47</v>
      </c>
      <c r="J42" s="20">
        <f>D29/2</f>
        <v>111.5</v>
      </c>
    </row>
    <row r="43">
      <c r="A43" s="17" t="s">
        <v>10</v>
      </c>
      <c r="B43" s="22">
        <f>sum(B37:B42)</f>
        <v>336</v>
      </c>
      <c r="F43" s="17" t="s">
        <v>10</v>
      </c>
      <c r="G43" s="18">
        <f>sum(G37:G42)</f>
        <v>740</v>
      </c>
      <c r="I43" s="15" t="s">
        <v>48</v>
      </c>
      <c r="J43" s="20">
        <f>sum(J39:J42)</f>
        <v>603.5</v>
      </c>
    </row>
    <row r="45">
      <c r="G45" s="2">
        <v>165.0</v>
      </c>
    </row>
    <row r="46">
      <c r="G46" s="87">
        <f>G43+G45</f>
        <v>905</v>
      </c>
    </row>
    <row r="49">
      <c r="G49">
        <f>2470-1500-210</f>
        <v>760</v>
      </c>
      <c r="H49">
        <f>G49/2</f>
        <v>380</v>
      </c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</sheetData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1" t="s">
        <v>161</v>
      </c>
      <c r="H1" s="2"/>
    </row>
    <row r="2">
      <c r="A2" s="1" t="s">
        <v>2</v>
      </c>
      <c r="B2" s="2" t="s">
        <v>3</v>
      </c>
      <c r="C2" s="2">
        <v>3.0</v>
      </c>
      <c r="D2" s="3">
        <v>3.0</v>
      </c>
      <c r="E2" s="3"/>
      <c r="G2" s="79" t="s">
        <v>162</v>
      </c>
      <c r="H2" s="79" t="s">
        <v>103</v>
      </c>
      <c r="I2" s="79" t="s">
        <v>163</v>
      </c>
      <c r="J2" s="79" t="s">
        <v>80</v>
      </c>
      <c r="K2" s="79" t="s">
        <v>102</v>
      </c>
    </row>
    <row r="3">
      <c r="B3" s="2" t="s">
        <v>4</v>
      </c>
      <c r="E3" s="2"/>
      <c r="G3" s="17" t="s">
        <v>63</v>
      </c>
      <c r="H3" s="2">
        <v>1468.0</v>
      </c>
      <c r="I3" s="17" t="s">
        <v>164</v>
      </c>
      <c r="J3" s="17"/>
      <c r="K3" s="2"/>
    </row>
    <row r="4">
      <c r="B4" s="2" t="s">
        <v>5</v>
      </c>
      <c r="D4" s="2"/>
      <c r="E4" s="2"/>
      <c r="G4" s="17" t="s">
        <v>62</v>
      </c>
      <c r="H4" s="17">
        <f>3425-979</f>
        <v>2446</v>
      </c>
      <c r="I4" s="17"/>
      <c r="J4" s="17"/>
      <c r="K4" s="17"/>
    </row>
    <row r="5">
      <c r="B5" s="2" t="s">
        <v>6</v>
      </c>
      <c r="D5" s="4">
        <v>84.0</v>
      </c>
      <c r="E5" s="4"/>
      <c r="G5" s="17" t="s">
        <v>63</v>
      </c>
      <c r="H5" s="17">
        <v>979.0</v>
      </c>
      <c r="I5" s="80"/>
      <c r="J5" s="17"/>
      <c r="K5" s="17"/>
    </row>
    <row r="6">
      <c r="A6" s="1" t="s">
        <v>7</v>
      </c>
      <c r="B6" s="2" t="s">
        <v>8</v>
      </c>
      <c r="D6" s="4"/>
      <c r="E6" s="4"/>
      <c r="G6" s="17"/>
      <c r="H6" s="17"/>
      <c r="I6" s="17"/>
      <c r="J6" s="17"/>
      <c r="K6" s="17"/>
    </row>
    <row r="7">
      <c r="B7" s="2" t="s">
        <v>165</v>
      </c>
      <c r="C7" s="2"/>
      <c r="D7" s="4"/>
      <c r="E7" s="4"/>
      <c r="G7" s="17"/>
      <c r="H7" s="17">
        <f>sum(H5, H4, H3)</f>
        <v>4893</v>
      </c>
      <c r="I7" s="17" t="s">
        <v>166</v>
      </c>
      <c r="J7" s="17"/>
      <c r="K7" s="17"/>
    </row>
    <row r="8">
      <c r="A8" s="5" t="s">
        <v>10</v>
      </c>
      <c r="B8" s="6"/>
      <c r="C8" s="5">
        <v>165.0</v>
      </c>
      <c r="D8" s="5">
        <v>494.0</v>
      </c>
      <c r="E8" s="5"/>
      <c r="F8" s="2"/>
      <c r="G8" s="17" t="s">
        <v>62</v>
      </c>
      <c r="H8" s="17">
        <v>1178.0</v>
      </c>
      <c r="I8" s="17"/>
      <c r="J8" s="17"/>
      <c r="K8" s="17"/>
    </row>
    <row r="9">
      <c r="B9" s="2" t="s">
        <v>11</v>
      </c>
      <c r="C9" s="2"/>
      <c r="D9" s="2">
        <v>22.0</v>
      </c>
      <c r="E9" s="2"/>
      <c r="G9" s="17"/>
      <c r="H9" s="17"/>
      <c r="I9" s="17"/>
      <c r="J9" s="17"/>
      <c r="K9" s="17"/>
    </row>
    <row r="10">
      <c r="B10" s="2" t="s">
        <v>12</v>
      </c>
      <c r="D10" s="2"/>
      <c r="E10" s="2"/>
      <c r="F10" s="7"/>
      <c r="G10" s="17"/>
      <c r="H10" s="17"/>
      <c r="I10" s="17"/>
      <c r="J10" s="17"/>
      <c r="K10" s="17"/>
    </row>
    <row r="11">
      <c r="B11" s="2" t="s">
        <v>13</v>
      </c>
      <c r="D11" s="2">
        <v>225.0</v>
      </c>
      <c r="E11" s="2"/>
      <c r="G11" s="17"/>
      <c r="H11" s="17"/>
      <c r="I11" s="17"/>
      <c r="J11" s="17"/>
      <c r="K11" s="17"/>
    </row>
    <row r="12">
      <c r="B12" s="2" t="s">
        <v>14</v>
      </c>
      <c r="C12" s="2"/>
      <c r="D12" s="2">
        <v>172.0</v>
      </c>
      <c r="E12" s="2"/>
    </row>
    <row r="13">
      <c r="B13" s="2" t="s">
        <v>15</v>
      </c>
      <c r="D13" s="2">
        <v>34.0</v>
      </c>
      <c r="E13" s="2"/>
      <c r="H13" s="2"/>
      <c r="J13" s="81"/>
    </row>
    <row r="14">
      <c r="B14" s="2" t="s">
        <v>16</v>
      </c>
      <c r="C14" s="2"/>
      <c r="D14" s="2"/>
      <c r="E14" s="2"/>
      <c r="H14" s="2"/>
      <c r="I14" s="2"/>
    </row>
    <row r="15">
      <c r="B15" s="2" t="s">
        <v>17</v>
      </c>
      <c r="C15" s="2"/>
      <c r="D15" s="2"/>
      <c r="E15" s="2"/>
      <c r="H15" s="2"/>
      <c r="I15" s="2"/>
    </row>
    <row r="16">
      <c r="B16" s="2" t="s">
        <v>18</v>
      </c>
      <c r="C16" s="2"/>
      <c r="D16" s="2"/>
      <c r="E16" s="2"/>
      <c r="H16" s="2"/>
      <c r="I16" s="2"/>
    </row>
    <row r="17">
      <c r="A17" s="5" t="s">
        <v>10</v>
      </c>
      <c r="B17" s="6"/>
      <c r="C17" s="5">
        <f t="shared" ref="C17:D17" si="1">SUM(C9:C16)</f>
        <v>0</v>
      </c>
      <c r="D17" s="5">
        <f t="shared" si="1"/>
        <v>453</v>
      </c>
      <c r="E17" s="5"/>
      <c r="H17" s="2"/>
      <c r="I17" s="2"/>
    </row>
    <row r="18">
      <c r="A18" s="1" t="s">
        <v>19</v>
      </c>
      <c r="B18" s="2" t="s">
        <v>20</v>
      </c>
      <c r="D18" s="2">
        <v>100.0</v>
      </c>
      <c r="E18" s="2"/>
      <c r="H18" s="2"/>
      <c r="I18" s="2"/>
    </row>
    <row r="19">
      <c r="B19" s="2" t="s">
        <v>21</v>
      </c>
      <c r="D19" s="2"/>
      <c r="E19" s="2"/>
      <c r="F19" s="2"/>
      <c r="H19" s="2"/>
      <c r="I19" s="2"/>
    </row>
    <row r="20">
      <c r="B20" s="2" t="s">
        <v>22</v>
      </c>
      <c r="H20" s="2"/>
      <c r="I20" s="2"/>
    </row>
    <row r="21">
      <c r="A21" s="5" t="s">
        <v>10</v>
      </c>
      <c r="B21" s="5"/>
      <c r="C21" s="5">
        <v>118.0</v>
      </c>
      <c r="D21" s="6">
        <f>sum(D18:D20)</f>
        <v>100</v>
      </c>
      <c r="E21" s="6"/>
    </row>
    <row r="22">
      <c r="A22" s="1" t="s">
        <v>23</v>
      </c>
      <c r="B22" s="2" t="s">
        <v>24</v>
      </c>
      <c r="D22" s="2"/>
    </row>
    <row r="23">
      <c r="B23" s="2" t="s">
        <v>25</v>
      </c>
      <c r="D23" s="2"/>
    </row>
    <row r="24">
      <c r="B24" s="2" t="s">
        <v>26</v>
      </c>
      <c r="D24" s="2"/>
    </row>
    <row r="25">
      <c r="B25" s="2" t="s">
        <v>27</v>
      </c>
      <c r="D25" s="2"/>
    </row>
    <row r="26">
      <c r="B26" s="2" t="s">
        <v>28</v>
      </c>
      <c r="C26" s="2"/>
    </row>
    <row r="27">
      <c r="B27" s="2" t="s">
        <v>29</v>
      </c>
      <c r="C27" s="9"/>
      <c r="D27" s="10"/>
      <c r="E27" s="10"/>
      <c r="H27" s="2" t="s">
        <v>176</v>
      </c>
    </row>
    <row r="28">
      <c r="A28" s="5" t="s">
        <v>10</v>
      </c>
      <c r="B28" s="5"/>
      <c r="C28" s="5">
        <v>91.0</v>
      </c>
      <c r="D28" s="6">
        <f>SUM(D25:D27)</f>
        <v>0</v>
      </c>
      <c r="E28" s="6"/>
      <c r="H28" s="2" t="s">
        <v>30</v>
      </c>
    </row>
    <row r="29">
      <c r="A29" s="11" t="s">
        <v>10</v>
      </c>
    </row>
    <row r="30">
      <c r="A30" s="11" t="s">
        <v>31</v>
      </c>
      <c r="B30" s="12"/>
      <c r="C30" s="12"/>
      <c r="D30">
        <f>C8+C17+C21+C28</f>
        <v>374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1" t="s">
        <v>32</v>
      </c>
      <c r="B31" s="13"/>
      <c r="C31" s="13"/>
      <c r="D31" s="3">
        <f>D8+D17+D21+D28</f>
        <v>1047</v>
      </c>
      <c r="E31" s="3"/>
    </row>
    <row r="32">
      <c r="A32" s="11" t="s">
        <v>33</v>
      </c>
      <c r="B32" s="13"/>
      <c r="C32" s="13"/>
      <c r="D32" s="4">
        <f>(D31-D30)/2</f>
        <v>336.5</v>
      </c>
      <c r="E32" s="13"/>
    </row>
    <row r="33">
      <c r="A33" s="14"/>
    </row>
    <row r="34">
      <c r="A34" s="2" t="s">
        <v>34</v>
      </c>
    </row>
    <row r="35">
      <c r="A35" s="1" t="s">
        <v>35</v>
      </c>
      <c r="B35" s="1" t="s">
        <v>36</v>
      </c>
      <c r="F35" s="1" t="s">
        <v>37</v>
      </c>
      <c r="G35" s="1" t="s">
        <v>36</v>
      </c>
      <c r="I35" s="15" t="s">
        <v>38</v>
      </c>
      <c r="J35" s="16">
        <f>B42-G42</f>
        <v>-252.5</v>
      </c>
    </row>
    <row r="36">
      <c r="A36" s="17" t="s">
        <v>39</v>
      </c>
      <c r="B36" s="18">
        <f>D32</f>
        <v>336.5</v>
      </c>
      <c r="F36" s="17" t="s">
        <v>167</v>
      </c>
      <c r="G36" s="16"/>
    </row>
    <row r="37">
      <c r="A37" s="17" t="s">
        <v>41</v>
      </c>
      <c r="B37" s="17"/>
      <c r="F37" s="19" t="s">
        <v>176</v>
      </c>
      <c r="G37" s="17">
        <v>300.0</v>
      </c>
      <c r="I37" s="3" t="s">
        <v>42</v>
      </c>
    </row>
    <row r="38">
      <c r="A38" s="17" t="s">
        <v>43</v>
      </c>
      <c r="B38" s="17">
        <v>115.0</v>
      </c>
      <c r="D38" s="2"/>
      <c r="E38" s="2"/>
      <c r="F38" s="17"/>
      <c r="G38" s="16">
        <v>404.0</v>
      </c>
      <c r="H38" s="2"/>
      <c r="I38" s="15" t="s">
        <v>44</v>
      </c>
      <c r="J38" s="20">
        <f>D17/2</f>
        <v>226.5</v>
      </c>
    </row>
    <row r="39">
      <c r="A39" s="17"/>
      <c r="B39" s="17"/>
      <c r="F39" s="17"/>
      <c r="G39" s="16"/>
      <c r="I39" s="15" t="s">
        <v>45</v>
      </c>
      <c r="J39" s="20">
        <f>D8/2</f>
        <v>247</v>
      </c>
    </row>
    <row r="40">
      <c r="A40" s="17"/>
      <c r="B40" s="17"/>
      <c r="F40" s="17"/>
      <c r="G40" s="17"/>
      <c r="I40" s="15" t="s">
        <v>46</v>
      </c>
      <c r="J40" s="20">
        <f>D21/2</f>
        <v>50</v>
      </c>
    </row>
    <row r="41">
      <c r="A41" s="17"/>
      <c r="B41" s="21"/>
      <c r="F41" s="17"/>
      <c r="G41" s="17"/>
      <c r="I41" s="15" t="s">
        <v>47</v>
      </c>
      <c r="J41" s="20">
        <f>D28/2</f>
        <v>0</v>
      </c>
    </row>
    <row r="42">
      <c r="A42" s="17" t="s">
        <v>10</v>
      </c>
      <c r="B42" s="22">
        <f>sum(B36:B41)</f>
        <v>451.5</v>
      </c>
      <c r="F42" s="17" t="s">
        <v>10</v>
      </c>
      <c r="G42" s="18">
        <f>sum(G36:G41)</f>
        <v>704</v>
      </c>
      <c r="I42" s="15" t="s">
        <v>48</v>
      </c>
      <c r="J42" s="20">
        <f>sum(J38:J41)</f>
        <v>523.5</v>
      </c>
    </row>
    <row r="44">
      <c r="G44" s="2">
        <v>165.0</v>
      </c>
    </row>
    <row r="45">
      <c r="G45" s="87">
        <f>G42+G44</f>
        <v>869</v>
      </c>
    </row>
    <row r="48">
      <c r="G48">
        <f>2470-1500-210</f>
        <v>760</v>
      </c>
      <c r="H48">
        <f>G48/2</f>
        <v>380</v>
      </c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</sheetData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1" t="s">
        <v>161</v>
      </c>
      <c r="H1" s="2"/>
    </row>
    <row r="2">
      <c r="A2" s="1" t="s">
        <v>2</v>
      </c>
      <c r="B2" s="2" t="s">
        <v>3</v>
      </c>
      <c r="D2" s="3"/>
      <c r="E2" s="3"/>
      <c r="G2" s="79" t="s">
        <v>162</v>
      </c>
      <c r="H2" s="79" t="s">
        <v>103</v>
      </c>
      <c r="I2" s="79" t="s">
        <v>163</v>
      </c>
      <c r="J2" s="79" t="s">
        <v>80</v>
      </c>
      <c r="K2" s="79" t="s">
        <v>102</v>
      </c>
    </row>
    <row r="3">
      <c r="B3" s="2" t="s">
        <v>4</v>
      </c>
      <c r="E3" s="2"/>
      <c r="G3" s="17" t="s">
        <v>63</v>
      </c>
      <c r="H3" s="2">
        <v>1468.0</v>
      </c>
      <c r="I3" s="17" t="s">
        <v>164</v>
      </c>
      <c r="J3" s="17"/>
      <c r="K3" s="2"/>
    </row>
    <row r="4">
      <c r="B4" s="2" t="s">
        <v>5</v>
      </c>
      <c r="E4" s="2"/>
      <c r="G4" s="17" t="s">
        <v>62</v>
      </c>
      <c r="H4" s="17">
        <f>3425-979</f>
        <v>2446</v>
      </c>
      <c r="I4" s="17"/>
      <c r="J4" s="17"/>
      <c r="K4" s="17"/>
    </row>
    <row r="5">
      <c r="B5" s="2" t="s">
        <v>6</v>
      </c>
      <c r="D5" s="4"/>
      <c r="E5" s="4"/>
      <c r="G5" s="17" t="s">
        <v>63</v>
      </c>
      <c r="H5" s="17">
        <v>979.0</v>
      </c>
      <c r="I5" s="80"/>
      <c r="J5" s="17"/>
      <c r="K5" s="17"/>
    </row>
    <row r="6">
      <c r="A6" s="1" t="s">
        <v>7</v>
      </c>
      <c r="B6" s="2" t="s">
        <v>8</v>
      </c>
      <c r="D6" s="4"/>
      <c r="E6" s="4"/>
      <c r="G6" s="17"/>
      <c r="H6" s="17"/>
      <c r="I6" s="17"/>
      <c r="J6" s="17"/>
      <c r="K6" s="17"/>
    </row>
    <row r="7">
      <c r="B7" s="2" t="s">
        <v>165</v>
      </c>
      <c r="C7" s="2"/>
      <c r="D7" s="4"/>
      <c r="E7" s="4"/>
      <c r="G7" s="17"/>
      <c r="H7" s="17">
        <f>sum(H5, H4, H3)</f>
        <v>4893</v>
      </c>
      <c r="I7" s="17" t="s">
        <v>166</v>
      </c>
      <c r="J7" s="17"/>
      <c r="K7" s="17"/>
    </row>
    <row r="8">
      <c r="A8" s="5" t="s">
        <v>10</v>
      </c>
      <c r="B8" s="6"/>
      <c r="C8" s="5">
        <v>33.0</v>
      </c>
      <c r="D8" s="5">
        <v>677.0</v>
      </c>
      <c r="E8" s="5"/>
      <c r="F8" s="2"/>
      <c r="G8" s="17" t="s">
        <v>62</v>
      </c>
      <c r="H8" s="17">
        <v>1178.0</v>
      </c>
      <c r="I8" s="17"/>
      <c r="J8" s="17"/>
      <c r="K8" s="17"/>
    </row>
    <row r="9">
      <c r="B9" s="2" t="s">
        <v>11</v>
      </c>
      <c r="E9" s="2"/>
      <c r="G9" s="17"/>
      <c r="H9" s="17"/>
      <c r="I9" s="17"/>
      <c r="J9" s="17"/>
      <c r="K9" s="17"/>
    </row>
    <row r="10">
      <c r="B10" s="2" t="s">
        <v>12</v>
      </c>
      <c r="E10" s="2"/>
      <c r="F10" s="7"/>
      <c r="G10" s="17"/>
      <c r="H10" s="17"/>
      <c r="I10" s="17"/>
      <c r="J10" s="17"/>
      <c r="K10" s="17"/>
    </row>
    <row r="11">
      <c r="B11" s="2" t="s">
        <v>13</v>
      </c>
      <c r="E11" s="2"/>
      <c r="G11" s="17"/>
      <c r="H11" s="17"/>
      <c r="I11" s="17"/>
      <c r="J11" s="17"/>
      <c r="K11" s="17"/>
    </row>
    <row r="12">
      <c r="B12" s="2" t="s">
        <v>14</v>
      </c>
      <c r="E12" s="2"/>
    </row>
    <row r="13">
      <c r="B13" s="2" t="s">
        <v>15</v>
      </c>
      <c r="E13" s="2"/>
      <c r="H13" s="2"/>
      <c r="J13" s="81"/>
    </row>
    <row r="14">
      <c r="B14" s="2" t="s">
        <v>16</v>
      </c>
      <c r="E14" s="2"/>
      <c r="H14" s="2"/>
      <c r="I14" s="2"/>
    </row>
    <row r="15">
      <c r="B15" s="2" t="s">
        <v>17</v>
      </c>
      <c r="E15" s="2"/>
      <c r="H15" s="2"/>
      <c r="I15" s="2"/>
    </row>
    <row r="16">
      <c r="B16" s="2" t="s">
        <v>18</v>
      </c>
      <c r="C16" s="2"/>
      <c r="D16" s="2"/>
      <c r="E16" s="2"/>
      <c r="H16" s="2"/>
      <c r="I16" s="2"/>
    </row>
    <row r="17">
      <c r="A17" s="5" t="s">
        <v>10</v>
      </c>
      <c r="B17" s="6"/>
      <c r="C17" s="5">
        <f>SUM(C9:C16)</f>
        <v>0</v>
      </c>
      <c r="D17" s="5">
        <v>591.0</v>
      </c>
      <c r="E17" s="5"/>
      <c r="H17" s="2"/>
      <c r="I17" s="2"/>
    </row>
    <row r="18">
      <c r="A18" s="1" t="s">
        <v>19</v>
      </c>
      <c r="B18" s="2" t="s">
        <v>20</v>
      </c>
      <c r="E18" s="2"/>
      <c r="H18" s="2"/>
      <c r="I18" s="2"/>
    </row>
    <row r="19">
      <c r="B19" s="2" t="s">
        <v>21</v>
      </c>
      <c r="E19" s="2"/>
      <c r="F19" s="2"/>
      <c r="H19" s="2"/>
      <c r="I19" s="2"/>
    </row>
    <row r="20">
      <c r="B20" s="2" t="s">
        <v>22</v>
      </c>
      <c r="H20" s="2"/>
      <c r="I20" s="2"/>
    </row>
    <row r="21">
      <c r="A21" s="5" t="s">
        <v>10</v>
      </c>
      <c r="B21" s="5"/>
      <c r="C21" s="5">
        <v>7.0</v>
      </c>
      <c r="D21" s="5">
        <v>53.0</v>
      </c>
      <c r="E21" s="6"/>
    </row>
    <row r="22">
      <c r="A22" s="1" t="s">
        <v>23</v>
      </c>
      <c r="B22" s="2" t="s">
        <v>24</v>
      </c>
      <c r="D22" s="2"/>
    </row>
    <row r="23">
      <c r="B23" s="2" t="s">
        <v>25</v>
      </c>
      <c r="D23" s="2"/>
    </row>
    <row r="24">
      <c r="B24" s="2" t="s">
        <v>26</v>
      </c>
      <c r="D24" s="2"/>
    </row>
    <row r="25">
      <c r="B25" s="2" t="s">
        <v>27</v>
      </c>
      <c r="D25" s="2"/>
    </row>
    <row r="26">
      <c r="B26" s="2" t="s">
        <v>28</v>
      </c>
      <c r="C26" s="2"/>
    </row>
    <row r="27">
      <c r="B27" s="2" t="s">
        <v>29</v>
      </c>
      <c r="C27" s="9"/>
      <c r="D27" s="10"/>
      <c r="E27" s="10"/>
      <c r="H27" s="2" t="s">
        <v>176</v>
      </c>
    </row>
    <row r="28">
      <c r="A28" s="5" t="s">
        <v>10</v>
      </c>
      <c r="B28" s="5"/>
      <c r="C28" s="5">
        <v>0.0</v>
      </c>
      <c r="D28" s="6">
        <f>SUM(D25:D27)</f>
        <v>0</v>
      </c>
      <c r="E28" s="6"/>
      <c r="H28" s="2" t="s">
        <v>30</v>
      </c>
    </row>
    <row r="29">
      <c r="A29" s="11" t="s">
        <v>10</v>
      </c>
    </row>
    <row r="30">
      <c r="A30" s="11" t="s">
        <v>31</v>
      </c>
      <c r="B30" s="12"/>
      <c r="C30" s="12"/>
      <c r="D30">
        <f>C8+C17+C21+C28</f>
        <v>40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1" t="s">
        <v>32</v>
      </c>
      <c r="B31" s="13"/>
      <c r="C31" s="13"/>
      <c r="D31" s="3">
        <f>D8+D17+D21+D28</f>
        <v>1321</v>
      </c>
      <c r="E31" s="3"/>
    </row>
    <row r="32">
      <c r="A32" s="11" t="s">
        <v>33</v>
      </c>
      <c r="B32" s="13"/>
      <c r="C32" s="13"/>
      <c r="D32" s="4">
        <f>(D31-D30)/2</f>
        <v>640.5</v>
      </c>
      <c r="E32" s="13"/>
    </row>
    <row r="33">
      <c r="A33" s="14"/>
    </row>
    <row r="34">
      <c r="A34" s="2" t="s">
        <v>34</v>
      </c>
    </row>
    <row r="35">
      <c r="A35" s="1" t="s">
        <v>35</v>
      </c>
      <c r="B35" s="1" t="s">
        <v>36</v>
      </c>
      <c r="F35" s="1" t="s">
        <v>37</v>
      </c>
      <c r="G35" s="1" t="s">
        <v>36</v>
      </c>
      <c r="I35" s="15" t="s">
        <v>38</v>
      </c>
      <c r="J35" s="16">
        <f>B42-G42</f>
        <v>-346.5</v>
      </c>
    </row>
    <row r="36">
      <c r="A36" s="17" t="s">
        <v>39</v>
      </c>
      <c r="B36" s="18">
        <f>D32</f>
        <v>640.5</v>
      </c>
      <c r="F36" s="17" t="s">
        <v>167</v>
      </c>
      <c r="G36" s="16">
        <v>252.0</v>
      </c>
    </row>
    <row r="37">
      <c r="A37" s="17" t="s">
        <v>41</v>
      </c>
      <c r="B37" s="17"/>
      <c r="F37" s="19" t="s">
        <v>176</v>
      </c>
      <c r="G37" s="17">
        <v>500.0</v>
      </c>
      <c r="I37" s="3" t="s">
        <v>42</v>
      </c>
    </row>
    <row r="38">
      <c r="A38" s="17" t="s">
        <v>43</v>
      </c>
      <c r="B38" s="17">
        <v>115.0</v>
      </c>
      <c r="D38" s="2"/>
      <c r="E38" s="2"/>
      <c r="F38" s="17"/>
      <c r="G38" s="16">
        <v>350.0</v>
      </c>
      <c r="H38" s="2"/>
      <c r="I38" s="15" t="s">
        <v>44</v>
      </c>
      <c r="J38" s="20">
        <f>D17/2</f>
        <v>295.5</v>
      </c>
    </row>
    <row r="39">
      <c r="A39" s="17"/>
      <c r="B39" s="17"/>
      <c r="F39" s="17"/>
      <c r="G39" s="16"/>
      <c r="I39" s="15" t="s">
        <v>45</v>
      </c>
      <c r="J39" s="20">
        <f>D8/2</f>
        <v>338.5</v>
      </c>
    </row>
    <row r="40">
      <c r="A40" s="17"/>
      <c r="B40" s="17"/>
      <c r="F40" s="17"/>
      <c r="G40" s="17"/>
      <c r="I40" s="15" t="s">
        <v>46</v>
      </c>
      <c r="J40" s="20">
        <f>D21/2</f>
        <v>26.5</v>
      </c>
    </row>
    <row r="41">
      <c r="A41" s="17"/>
      <c r="B41" s="21"/>
      <c r="F41" s="17"/>
      <c r="G41" s="17"/>
      <c r="I41" s="15" t="s">
        <v>47</v>
      </c>
      <c r="J41" s="20">
        <f>D28/2</f>
        <v>0</v>
      </c>
    </row>
    <row r="42">
      <c r="A42" s="17" t="s">
        <v>10</v>
      </c>
      <c r="B42" s="22">
        <f>sum(B36:B41)</f>
        <v>755.5</v>
      </c>
      <c r="F42" s="17" t="s">
        <v>10</v>
      </c>
      <c r="G42" s="18">
        <f>sum(G36:G41)</f>
        <v>1102</v>
      </c>
      <c r="I42" s="15" t="s">
        <v>48</v>
      </c>
      <c r="J42" s="20">
        <f>sum(J38:J41)</f>
        <v>660.5</v>
      </c>
    </row>
    <row r="44">
      <c r="G44" s="2">
        <v>165.0</v>
      </c>
    </row>
    <row r="45">
      <c r="G45" s="87">
        <f>G42+G44</f>
        <v>1267</v>
      </c>
    </row>
    <row r="48">
      <c r="G48">
        <f>2470-1500-210</f>
        <v>760</v>
      </c>
      <c r="H48">
        <f>G48/2</f>
        <v>380</v>
      </c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</sheetData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21.0"/>
  </cols>
  <sheetData>
    <row r="1">
      <c r="A1" s="2"/>
      <c r="B1" s="88"/>
      <c r="C1" s="88" t="s">
        <v>10</v>
      </c>
      <c r="D1" s="88" t="s">
        <v>62</v>
      </c>
    </row>
    <row r="2">
      <c r="A2" s="2" t="s">
        <v>181</v>
      </c>
      <c r="B2" s="88"/>
      <c r="C2" s="88">
        <f>0.02804396</f>
        <v>0.02804396</v>
      </c>
      <c r="D2" s="88">
        <f t="shared" ref="D2:D3" si="1">(C2-D7)*1/3</f>
        <v>0.00277554</v>
      </c>
      <c r="E2" s="89">
        <f t="shared" ref="E2:E4" si="2">C2-D2</f>
        <v>0.02526842</v>
      </c>
    </row>
    <row r="3">
      <c r="A3" s="2" t="s">
        <v>182</v>
      </c>
      <c r="B3" s="2"/>
      <c r="C3" s="2">
        <v>0.93817249</v>
      </c>
      <c r="D3" s="2">
        <f t="shared" si="1"/>
        <v>0.2694245827</v>
      </c>
      <c r="E3">
        <f t="shared" si="2"/>
        <v>0.6687479073</v>
      </c>
    </row>
    <row r="4">
      <c r="A4" s="2" t="s">
        <v>183</v>
      </c>
      <c r="B4" s="2"/>
      <c r="C4" s="2">
        <f>140.21985931</f>
        <v>140.2198593</v>
      </c>
      <c r="D4" s="2">
        <f>C4*1/3</f>
        <v>46.7399531</v>
      </c>
      <c r="E4">
        <f t="shared" si="2"/>
        <v>93.47990621</v>
      </c>
    </row>
    <row r="5">
      <c r="B5" s="2" t="s">
        <v>184</v>
      </c>
    </row>
    <row r="7">
      <c r="A7" s="2" t="s">
        <v>185</v>
      </c>
      <c r="B7" s="2"/>
      <c r="C7" s="2"/>
      <c r="D7" s="2">
        <v>0.01971734</v>
      </c>
    </row>
    <row r="8">
      <c r="A8" s="2" t="s">
        <v>186</v>
      </c>
      <c r="B8" s="2"/>
      <c r="C8" s="2"/>
      <c r="D8" s="2">
        <v>0.129898742020885</v>
      </c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63"/>
    <col customWidth="1" min="9" max="9" width="25.25"/>
    <col customWidth="1" min="12" max="12" width="35.13"/>
  </cols>
  <sheetData>
    <row r="1">
      <c r="C1" s="1" t="s">
        <v>0</v>
      </c>
      <c r="D1" s="1" t="s">
        <v>1</v>
      </c>
      <c r="E1" s="1"/>
      <c r="G1" s="1" t="s">
        <v>161</v>
      </c>
      <c r="H1" s="2"/>
    </row>
    <row r="2">
      <c r="A2" s="1" t="s">
        <v>2</v>
      </c>
      <c r="B2" s="2" t="s">
        <v>3</v>
      </c>
      <c r="D2" s="3"/>
      <c r="E2" s="3"/>
      <c r="G2" s="79" t="s">
        <v>162</v>
      </c>
      <c r="H2" s="79" t="s">
        <v>103</v>
      </c>
      <c r="I2" s="79" t="s">
        <v>163</v>
      </c>
      <c r="J2" s="79" t="s">
        <v>80</v>
      </c>
      <c r="K2" s="79" t="s">
        <v>102</v>
      </c>
    </row>
    <row r="3">
      <c r="B3" s="2" t="s">
        <v>4</v>
      </c>
      <c r="E3" s="2"/>
      <c r="G3" s="17" t="s">
        <v>63</v>
      </c>
      <c r="H3" s="2">
        <v>1468.0</v>
      </c>
      <c r="I3" s="17" t="s">
        <v>164</v>
      </c>
      <c r="J3" s="17"/>
      <c r="K3" s="2"/>
    </row>
    <row r="4">
      <c r="B4" s="2" t="s">
        <v>5</v>
      </c>
      <c r="E4" s="2"/>
      <c r="G4" s="17" t="s">
        <v>62</v>
      </c>
      <c r="H4" s="17">
        <f>3425-979</f>
        <v>2446</v>
      </c>
      <c r="I4" s="17"/>
      <c r="J4" s="17"/>
      <c r="K4" s="17"/>
    </row>
    <row r="5">
      <c r="B5" s="2" t="s">
        <v>6</v>
      </c>
      <c r="E5" s="4"/>
      <c r="G5" s="17" t="s">
        <v>63</v>
      </c>
      <c r="H5" s="17">
        <v>979.0</v>
      </c>
      <c r="I5" s="80"/>
      <c r="J5" s="17"/>
      <c r="K5" s="17"/>
    </row>
    <row r="6">
      <c r="A6" s="1" t="s">
        <v>7</v>
      </c>
      <c r="B6" s="2" t="s">
        <v>8</v>
      </c>
      <c r="D6" s="4"/>
      <c r="E6" s="4"/>
      <c r="G6" s="17"/>
      <c r="H6" s="17"/>
      <c r="I6" s="17"/>
      <c r="J6" s="17"/>
      <c r="K6" s="17"/>
    </row>
    <row r="7">
      <c r="B7" s="2" t="s">
        <v>165</v>
      </c>
      <c r="C7" s="4"/>
      <c r="E7" s="4"/>
      <c r="G7" s="17"/>
      <c r="H7" s="17">
        <f>sum(H5, H4, H3)</f>
        <v>4893</v>
      </c>
      <c r="I7" s="17" t="s">
        <v>166</v>
      </c>
      <c r="J7" s="17"/>
      <c r="K7" s="17"/>
    </row>
    <row r="8">
      <c r="A8" s="5" t="s">
        <v>10</v>
      </c>
      <c r="B8" s="6"/>
      <c r="C8" s="5">
        <f t="shared" ref="C8:D8" si="1">SUM(C2:C7)</f>
        <v>0</v>
      </c>
      <c r="D8" s="5">
        <f t="shared" si="1"/>
        <v>0</v>
      </c>
      <c r="E8" s="5"/>
      <c r="F8" s="2"/>
      <c r="G8" s="17" t="s">
        <v>62</v>
      </c>
      <c r="H8" s="17">
        <v>1178.0</v>
      </c>
      <c r="I8" s="17"/>
      <c r="J8" s="17"/>
      <c r="K8" s="17"/>
    </row>
    <row r="9">
      <c r="B9" s="2" t="s">
        <v>11</v>
      </c>
      <c r="D9" s="2">
        <v>22.0</v>
      </c>
      <c r="E9" s="2"/>
      <c r="G9" s="17"/>
      <c r="H9" s="17"/>
      <c r="I9" s="17"/>
      <c r="J9" s="17"/>
      <c r="K9" s="17"/>
    </row>
    <row r="10">
      <c r="B10" s="2" t="s">
        <v>12</v>
      </c>
      <c r="D10" s="2"/>
      <c r="E10" s="2"/>
      <c r="F10" s="7"/>
      <c r="G10" s="17"/>
      <c r="H10" s="17"/>
      <c r="I10" s="17"/>
      <c r="J10" s="17"/>
      <c r="K10" s="17"/>
    </row>
    <row r="11">
      <c r="B11" s="2" t="s">
        <v>13</v>
      </c>
      <c r="D11" s="2"/>
      <c r="E11" s="2"/>
      <c r="G11" s="17"/>
      <c r="H11" s="17"/>
      <c r="I11" s="17"/>
      <c r="J11" s="17"/>
      <c r="K11" s="17"/>
    </row>
    <row r="12">
      <c r="B12" s="2" t="s">
        <v>14</v>
      </c>
      <c r="D12" s="2">
        <v>172.0</v>
      </c>
      <c r="E12" s="2"/>
    </row>
    <row r="13">
      <c r="B13" s="2" t="s">
        <v>15</v>
      </c>
      <c r="D13" s="2">
        <v>34.0</v>
      </c>
      <c r="E13" s="2"/>
      <c r="H13" s="2"/>
      <c r="J13" s="81"/>
    </row>
    <row r="14">
      <c r="B14" s="2" t="s">
        <v>16</v>
      </c>
      <c r="C14" s="2"/>
      <c r="D14" s="2"/>
      <c r="E14" s="2"/>
      <c r="H14" s="2"/>
      <c r="I14" s="2"/>
    </row>
    <row r="15">
      <c r="B15" s="2" t="s">
        <v>17</v>
      </c>
      <c r="C15" s="2"/>
      <c r="D15" s="2"/>
      <c r="E15" s="2"/>
      <c r="H15" s="2"/>
      <c r="I15" s="2"/>
    </row>
    <row r="16">
      <c r="B16" s="2" t="s">
        <v>18</v>
      </c>
      <c r="C16" s="2"/>
      <c r="D16" s="2"/>
      <c r="E16" s="2"/>
      <c r="H16" s="2"/>
      <c r="I16" s="2"/>
    </row>
    <row r="17">
      <c r="A17" s="5" t="s">
        <v>10</v>
      </c>
      <c r="B17" s="6"/>
      <c r="C17" s="5">
        <f t="shared" ref="C17:D17" si="2">SUM(C9:C16)</f>
        <v>0</v>
      </c>
      <c r="D17" s="5">
        <f t="shared" si="2"/>
        <v>228</v>
      </c>
      <c r="E17" s="5"/>
      <c r="H17" s="2"/>
      <c r="I17" s="2"/>
    </row>
    <row r="18">
      <c r="A18" s="1" t="s">
        <v>19</v>
      </c>
      <c r="B18" s="2" t="s">
        <v>20</v>
      </c>
      <c r="E18" s="2"/>
      <c r="H18" s="2"/>
      <c r="I18" s="2"/>
    </row>
    <row r="19">
      <c r="B19" s="2" t="s">
        <v>21</v>
      </c>
      <c r="D19" s="2"/>
      <c r="E19" s="2"/>
      <c r="F19" s="2"/>
      <c r="H19" s="2"/>
      <c r="I19" s="2"/>
    </row>
    <row r="20">
      <c r="B20" s="2" t="s">
        <v>22</v>
      </c>
      <c r="H20" s="2"/>
      <c r="I20" s="2"/>
    </row>
    <row r="21">
      <c r="B21" s="2"/>
      <c r="D21" s="3"/>
      <c r="E21" s="3"/>
      <c r="H21" s="2"/>
      <c r="I21" s="2"/>
    </row>
    <row r="22">
      <c r="B22" s="2" t="s">
        <v>24</v>
      </c>
      <c r="D22" s="2"/>
      <c r="E22" s="2"/>
      <c r="F22" s="2"/>
      <c r="H22" s="2"/>
      <c r="I22" s="2"/>
    </row>
    <row r="23">
      <c r="A23" s="1" t="s">
        <v>23</v>
      </c>
      <c r="B23" s="2" t="s">
        <v>25</v>
      </c>
    </row>
    <row r="24">
      <c r="B24" s="2" t="s">
        <v>26</v>
      </c>
      <c r="H24" s="2"/>
      <c r="I24" s="2"/>
      <c r="K24">
        <f>150-112-400-186</f>
        <v>-548</v>
      </c>
    </row>
    <row r="25">
      <c r="A25" s="5" t="s">
        <v>10</v>
      </c>
      <c r="B25" s="5"/>
      <c r="C25" s="6">
        <f t="shared" ref="C25:D25" si="3">sum(C18:C24)</f>
        <v>0</v>
      </c>
      <c r="D25" s="6">
        <f t="shared" si="3"/>
        <v>0</v>
      </c>
      <c r="E25" s="6"/>
    </row>
    <row r="26">
      <c r="B26" s="2" t="s">
        <v>27</v>
      </c>
      <c r="D26" s="2"/>
    </row>
    <row r="27">
      <c r="B27" s="2" t="s">
        <v>28</v>
      </c>
      <c r="C27" s="2"/>
    </row>
    <row r="28">
      <c r="B28" s="2" t="s">
        <v>29</v>
      </c>
      <c r="C28" s="9"/>
      <c r="D28" s="10"/>
      <c r="E28" s="10"/>
      <c r="L28" s="2" t="s">
        <v>187</v>
      </c>
      <c r="M28" s="2" t="s">
        <v>137</v>
      </c>
    </row>
    <row r="29">
      <c r="A29" s="5" t="s">
        <v>10</v>
      </c>
      <c r="B29" s="5"/>
      <c r="C29" s="6">
        <f t="shared" ref="C29:D29" si="4">SUM(C26:C28)</f>
        <v>0</v>
      </c>
      <c r="D29" s="6">
        <f t="shared" si="4"/>
        <v>0</v>
      </c>
      <c r="E29" s="6"/>
      <c r="H29" s="2" t="s">
        <v>30</v>
      </c>
      <c r="L29" s="2" t="s">
        <v>188</v>
      </c>
      <c r="M29" s="2" t="s">
        <v>136</v>
      </c>
    </row>
    <row r="30">
      <c r="A30" s="11" t="s">
        <v>10</v>
      </c>
    </row>
    <row r="31">
      <c r="A31" s="11" t="s">
        <v>31</v>
      </c>
      <c r="B31" s="12"/>
      <c r="C31" s="12"/>
      <c r="D31">
        <f>C8+C17+C25+C29</f>
        <v>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1" t="s">
        <v>32</v>
      </c>
      <c r="B32" s="13"/>
      <c r="C32" s="13"/>
      <c r="D32" s="3">
        <f>D8+D17+D25+D29</f>
        <v>228</v>
      </c>
      <c r="E32" s="3"/>
    </row>
    <row r="33">
      <c r="A33" s="11" t="s">
        <v>33</v>
      </c>
      <c r="B33" s="13"/>
      <c r="C33" s="13"/>
      <c r="D33" s="4">
        <f>(D32-D31)/2</f>
        <v>114</v>
      </c>
      <c r="E33" s="13"/>
      <c r="F33" s="2" t="s">
        <v>189</v>
      </c>
      <c r="I33" s="2" t="s">
        <v>190</v>
      </c>
      <c r="J33">
        <f>440</f>
        <v>440</v>
      </c>
    </row>
    <row r="34">
      <c r="A34" s="14" t="s">
        <v>191</v>
      </c>
      <c r="F34" s="2" t="s">
        <v>192</v>
      </c>
      <c r="J34" s="2">
        <v>-176.0</v>
      </c>
    </row>
    <row r="35">
      <c r="A35" s="2" t="s">
        <v>34</v>
      </c>
      <c r="D35" s="1"/>
      <c r="F35" s="2" t="s">
        <v>63</v>
      </c>
    </row>
    <row r="36">
      <c r="A36" s="1" t="s">
        <v>37</v>
      </c>
      <c r="B36" s="1" t="s">
        <v>36</v>
      </c>
      <c r="F36" s="1" t="s">
        <v>35</v>
      </c>
      <c r="G36" s="1" t="s">
        <v>36</v>
      </c>
      <c r="I36" s="15" t="s">
        <v>38</v>
      </c>
      <c r="J36" s="16">
        <f>B43-G43</f>
        <v>200</v>
      </c>
      <c r="K36" s="2"/>
      <c r="L36" s="90" t="s">
        <v>193</v>
      </c>
    </row>
    <row r="37">
      <c r="A37" s="17" t="s">
        <v>33</v>
      </c>
      <c r="B37" s="16">
        <f>D33</f>
        <v>114</v>
      </c>
      <c r="F37" s="19" t="s">
        <v>168</v>
      </c>
      <c r="G37" s="17">
        <v>64.0</v>
      </c>
      <c r="L37" s="90" t="s">
        <v>194</v>
      </c>
    </row>
    <row r="38">
      <c r="A38" s="17" t="s">
        <v>195</v>
      </c>
      <c r="B38" s="17">
        <v>150.0</v>
      </c>
      <c r="C38" s="90" t="s">
        <v>193</v>
      </c>
      <c r="F38" s="19"/>
      <c r="G38" s="17"/>
      <c r="I38" s="3" t="s">
        <v>42</v>
      </c>
      <c r="L38" s="90" t="s">
        <v>196</v>
      </c>
    </row>
    <row r="39">
      <c r="A39" s="17"/>
      <c r="B39" s="17"/>
      <c r="C39" s="90" t="s">
        <v>194</v>
      </c>
      <c r="D39" s="2"/>
      <c r="E39" s="2"/>
      <c r="F39" s="17"/>
      <c r="G39" s="17"/>
      <c r="H39" s="2"/>
      <c r="I39" s="15" t="s">
        <v>44</v>
      </c>
      <c r="J39" s="20">
        <f>D17/2</f>
        <v>114</v>
      </c>
      <c r="L39" s="90" t="s">
        <v>197</v>
      </c>
    </row>
    <row r="40">
      <c r="A40" s="17"/>
      <c r="B40" s="17"/>
      <c r="C40" s="90" t="s">
        <v>196</v>
      </c>
      <c r="F40" s="17"/>
      <c r="G40" s="16"/>
      <c r="I40" s="15" t="s">
        <v>45</v>
      </c>
      <c r="J40" s="20">
        <f>D8/2</f>
        <v>0</v>
      </c>
    </row>
    <row r="41">
      <c r="A41" s="17"/>
      <c r="B41" s="17"/>
      <c r="C41" s="90" t="s">
        <v>197</v>
      </c>
      <c r="F41" s="20"/>
      <c r="G41" s="17"/>
      <c r="I41" s="15" t="s">
        <v>46</v>
      </c>
      <c r="J41" s="20">
        <f>D25/2</f>
        <v>0</v>
      </c>
    </row>
    <row r="42">
      <c r="A42" s="17"/>
      <c r="B42" s="21"/>
      <c r="F42" s="17"/>
      <c r="G42" s="17"/>
      <c r="I42" s="15" t="s">
        <v>47</v>
      </c>
      <c r="J42" s="20">
        <f>D29/2</f>
        <v>0</v>
      </c>
    </row>
    <row r="43">
      <c r="A43" s="17" t="s">
        <v>10</v>
      </c>
      <c r="B43" s="22">
        <f>sum(B37:B42)</f>
        <v>264</v>
      </c>
      <c r="F43" s="17" t="s">
        <v>10</v>
      </c>
      <c r="G43" s="20">
        <f>sum(G37:G42)</f>
        <v>64</v>
      </c>
      <c r="I43" s="15" t="s">
        <v>48</v>
      </c>
      <c r="J43" s="20">
        <f>sum(J39:J42)</f>
        <v>114</v>
      </c>
    </row>
    <row r="49">
      <c r="G49">
        <f>2470-1500-210</f>
        <v>760</v>
      </c>
      <c r="H49">
        <f>G49/2</f>
        <v>380</v>
      </c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</sheetData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25"/>
  </cols>
  <sheetData>
    <row r="1">
      <c r="C1" s="1" t="s">
        <v>0</v>
      </c>
      <c r="D1" s="1" t="s">
        <v>1</v>
      </c>
      <c r="E1" s="1"/>
      <c r="G1" s="1" t="s">
        <v>161</v>
      </c>
      <c r="H1" s="2"/>
    </row>
    <row r="2">
      <c r="A2" s="1" t="s">
        <v>2</v>
      </c>
      <c r="B2" s="2" t="s">
        <v>3</v>
      </c>
      <c r="D2" s="3">
        <v>19.0</v>
      </c>
      <c r="E2" s="3"/>
      <c r="G2" s="79" t="s">
        <v>162</v>
      </c>
      <c r="H2" s="79" t="s">
        <v>103</v>
      </c>
      <c r="I2" s="79" t="s">
        <v>163</v>
      </c>
      <c r="J2" s="79" t="s">
        <v>80</v>
      </c>
      <c r="K2" s="79" t="s">
        <v>102</v>
      </c>
    </row>
    <row r="3">
      <c r="B3" s="2" t="s">
        <v>4</v>
      </c>
      <c r="E3" s="2"/>
      <c r="G3" s="17" t="s">
        <v>63</v>
      </c>
      <c r="H3" s="2">
        <v>1468.0</v>
      </c>
      <c r="I3" s="17" t="s">
        <v>164</v>
      </c>
      <c r="J3" s="17"/>
      <c r="K3" s="2"/>
    </row>
    <row r="4">
      <c r="B4" s="2" t="s">
        <v>5</v>
      </c>
      <c r="E4" s="2"/>
      <c r="G4" s="17" t="s">
        <v>62</v>
      </c>
      <c r="H4" s="17">
        <f>3425-979</f>
        <v>2446</v>
      </c>
      <c r="I4" s="17"/>
      <c r="J4" s="17"/>
      <c r="K4" s="17"/>
    </row>
    <row r="5">
      <c r="B5" s="2" t="s">
        <v>6</v>
      </c>
      <c r="C5">
        <f>2+2</f>
        <v>4</v>
      </c>
      <c r="D5" s="4">
        <f>8+62</f>
        <v>70</v>
      </c>
      <c r="E5" s="4"/>
      <c r="G5" s="17" t="s">
        <v>63</v>
      </c>
      <c r="H5" s="17">
        <v>979.0</v>
      </c>
      <c r="I5" s="80"/>
      <c r="J5" s="17"/>
      <c r="K5" s="17"/>
    </row>
    <row r="6">
      <c r="A6" s="1" t="s">
        <v>7</v>
      </c>
      <c r="B6" s="2" t="s">
        <v>8</v>
      </c>
      <c r="D6" s="4"/>
      <c r="E6" s="4"/>
      <c r="G6" s="17"/>
      <c r="H6" s="17"/>
      <c r="I6" s="17"/>
      <c r="J6" s="17"/>
      <c r="K6" s="17"/>
    </row>
    <row r="7">
      <c r="B7" s="2" t="s">
        <v>165</v>
      </c>
      <c r="C7">
        <f>30</f>
        <v>30</v>
      </c>
      <c r="D7" s="4"/>
      <c r="E7" s="4"/>
      <c r="G7" s="17"/>
      <c r="H7" s="17">
        <f>sum(H5, H4, H3)</f>
        <v>4893</v>
      </c>
      <c r="I7" s="17" t="s">
        <v>166</v>
      </c>
      <c r="J7" s="17"/>
      <c r="K7" s="17"/>
    </row>
    <row r="8">
      <c r="A8" s="5" t="s">
        <v>10</v>
      </c>
      <c r="B8" s="6"/>
      <c r="C8" s="5"/>
      <c r="D8" s="5"/>
      <c r="E8" s="5"/>
      <c r="F8" s="2"/>
      <c r="G8" s="17" t="s">
        <v>62</v>
      </c>
      <c r="H8" s="17">
        <v>1178.0</v>
      </c>
      <c r="I8" s="17"/>
      <c r="J8" s="17"/>
      <c r="K8" s="17"/>
    </row>
    <row r="9">
      <c r="B9" s="2" t="s">
        <v>11</v>
      </c>
      <c r="C9" s="2"/>
      <c r="D9" s="2">
        <v>22.0</v>
      </c>
      <c r="E9" s="2"/>
      <c r="G9" s="17"/>
      <c r="H9" s="17"/>
      <c r="I9" s="17"/>
      <c r="J9" s="17"/>
      <c r="K9" s="17"/>
    </row>
    <row r="10">
      <c r="B10" s="2" t="s">
        <v>12</v>
      </c>
      <c r="D10" s="2"/>
      <c r="E10" s="2"/>
      <c r="F10" s="7"/>
      <c r="G10" s="17"/>
      <c r="H10" s="17"/>
      <c r="I10" s="17"/>
      <c r="J10" s="17"/>
      <c r="K10" s="17"/>
    </row>
    <row r="11">
      <c r="B11" s="2" t="s">
        <v>13</v>
      </c>
      <c r="D11" s="2"/>
      <c r="E11" s="2"/>
      <c r="G11" s="17"/>
      <c r="H11" s="17"/>
      <c r="I11" s="17"/>
      <c r="J11" s="17"/>
      <c r="K11" s="17"/>
    </row>
    <row r="12">
      <c r="B12" s="2" t="s">
        <v>14</v>
      </c>
      <c r="C12" s="2"/>
      <c r="D12" s="2">
        <v>172.0</v>
      </c>
      <c r="E12" s="2"/>
    </row>
    <row r="13">
      <c r="B13" s="2" t="s">
        <v>15</v>
      </c>
      <c r="C13" s="2">
        <v>9.0</v>
      </c>
      <c r="D13" s="2">
        <v>34.0</v>
      </c>
      <c r="E13" s="2"/>
      <c r="H13" s="2"/>
      <c r="J13" s="81"/>
    </row>
    <row r="14">
      <c r="B14" s="2" t="s">
        <v>16</v>
      </c>
      <c r="C14" s="2"/>
      <c r="D14" s="2"/>
      <c r="E14" s="2"/>
      <c r="H14" s="2"/>
      <c r="I14" s="2"/>
    </row>
    <row r="15">
      <c r="B15" s="2" t="s">
        <v>17</v>
      </c>
      <c r="C15" s="2"/>
      <c r="D15" s="2"/>
      <c r="E15" s="2"/>
      <c r="H15" s="2"/>
      <c r="I15" s="2"/>
    </row>
    <row r="16">
      <c r="B16" s="2" t="s">
        <v>18</v>
      </c>
      <c r="C16" s="2"/>
      <c r="D16" s="2"/>
      <c r="E16" s="2"/>
      <c r="H16" s="2"/>
      <c r="I16" s="2"/>
    </row>
    <row r="17">
      <c r="A17" s="5" t="s">
        <v>10</v>
      </c>
      <c r="B17" s="6"/>
      <c r="C17" s="5"/>
      <c r="D17" s="5">
        <f>sum(C6:D16)</f>
        <v>267</v>
      </c>
      <c r="E17" s="5"/>
      <c r="H17" s="2"/>
      <c r="I17" s="2"/>
    </row>
    <row r="18">
      <c r="A18" s="1" t="s">
        <v>19</v>
      </c>
      <c r="B18" s="2" t="s">
        <v>20</v>
      </c>
      <c r="D18" s="2">
        <v>20.0</v>
      </c>
      <c r="E18" s="2"/>
      <c r="H18" s="2"/>
      <c r="I18" s="2"/>
    </row>
    <row r="19">
      <c r="B19" s="2" t="s">
        <v>21</v>
      </c>
      <c r="D19" s="2"/>
      <c r="E19" s="2"/>
      <c r="F19" s="2"/>
      <c r="H19" s="2"/>
      <c r="I19" s="2"/>
    </row>
    <row r="20">
      <c r="B20" s="2" t="s">
        <v>22</v>
      </c>
      <c r="H20" s="2"/>
      <c r="I20" s="2"/>
    </row>
    <row r="21">
      <c r="B21" s="2"/>
      <c r="D21" s="3"/>
      <c r="E21" s="3"/>
      <c r="H21" s="2"/>
      <c r="I21" s="2"/>
    </row>
    <row r="22">
      <c r="B22" s="2" t="s">
        <v>24</v>
      </c>
      <c r="D22" s="2"/>
      <c r="E22" s="2"/>
      <c r="F22" s="2"/>
      <c r="H22" s="2"/>
      <c r="I22" s="2"/>
    </row>
    <row r="23">
      <c r="B23" s="2" t="s">
        <v>26</v>
      </c>
      <c r="H23" s="2"/>
      <c r="I23" s="2"/>
    </row>
    <row r="24">
      <c r="A24" s="5" t="s">
        <v>10</v>
      </c>
      <c r="B24" s="5"/>
      <c r="C24" s="6"/>
      <c r="D24" s="6">
        <f>sum(C18:D23)</f>
        <v>20</v>
      </c>
      <c r="E24" s="6"/>
    </row>
    <row r="25">
      <c r="A25" s="1" t="s">
        <v>23</v>
      </c>
      <c r="B25" s="2" t="s">
        <v>25</v>
      </c>
      <c r="C25">
        <f>72</f>
        <v>72</v>
      </c>
    </row>
    <row r="26">
      <c r="B26" s="2" t="s">
        <v>27</v>
      </c>
      <c r="D26" s="2"/>
    </row>
    <row r="27">
      <c r="B27" s="2" t="s">
        <v>28</v>
      </c>
      <c r="C27" s="2"/>
    </row>
    <row r="28">
      <c r="B28" s="2" t="s">
        <v>29</v>
      </c>
      <c r="C28" s="9"/>
      <c r="D28" s="10"/>
      <c r="E28" s="10"/>
    </row>
    <row r="29">
      <c r="A29" s="5" t="s">
        <v>10</v>
      </c>
      <c r="B29" s="5"/>
      <c r="C29" s="6"/>
      <c r="D29" s="6">
        <f>sum(C25:D28)</f>
        <v>72</v>
      </c>
      <c r="E29" s="6"/>
      <c r="H29" s="2" t="s">
        <v>30</v>
      </c>
    </row>
    <row r="30">
      <c r="A30" s="11" t="s">
        <v>10</v>
      </c>
    </row>
    <row r="31">
      <c r="A31" s="11" t="s">
        <v>31</v>
      </c>
      <c r="B31" s="12"/>
      <c r="C31" s="12"/>
      <c r="D31" s="2">
        <f>sum(C2:C7)+sum(C9:C16)+sum(C18:C23)+sum(C25:C28)</f>
        <v>115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1" t="s">
        <v>32</v>
      </c>
      <c r="B32" s="13"/>
      <c r="C32" s="13"/>
      <c r="D32" s="4">
        <f>sum(D2:D7)+sum(D6:D16)+sum(D18:D23)+sum(D25:D28)</f>
        <v>337</v>
      </c>
      <c r="E32" s="3"/>
    </row>
    <row r="33">
      <c r="A33" s="11" t="s">
        <v>33</v>
      </c>
      <c r="B33" s="13"/>
      <c r="C33" s="13"/>
      <c r="D33" s="4">
        <f>(D32-D31)/2</f>
        <v>111</v>
      </c>
      <c r="E33" s="13"/>
    </row>
    <row r="34">
      <c r="A34" s="14"/>
    </row>
    <row r="35">
      <c r="A35" s="2" t="s">
        <v>34</v>
      </c>
    </row>
    <row r="36">
      <c r="A36" s="1" t="s">
        <v>35</v>
      </c>
      <c r="B36" s="1" t="s">
        <v>36</v>
      </c>
      <c r="F36" s="1" t="s">
        <v>37</v>
      </c>
      <c r="G36" s="1" t="s">
        <v>36</v>
      </c>
      <c r="I36" s="15" t="s">
        <v>38</v>
      </c>
      <c r="J36" s="16">
        <f>B43-G43</f>
        <v>-554</v>
      </c>
    </row>
    <row r="37">
      <c r="A37" s="17" t="s">
        <v>39</v>
      </c>
      <c r="B37" s="18">
        <f>D33</f>
        <v>111</v>
      </c>
      <c r="F37" s="17" t="s">
        <v>167</v>
      </c>
      <c r="G37" s="16"/>
    </row>
    <row r="38">
      <c r="A38" s="17" t="s">
        <v>41</v>
      </c>
      <c r="B38" s="17">
        <v>-180.0</v>
      </c>
      <c r="F38" s="19" t="s">
        <v>168</v>
      </c>
      <c r="G38" s="17">
        <f>600</f>
        <v>600</v>
      </c>
      <c r="I38" s="3" t="s">
        <v>42</v>
      </c>
    </row>
    <row r="39">
      <c r="A39" s="17" t="s">
        <v>43</v>
      </c>
      <c r="B39" s="17">
        <v>115.0</v>
      </c>
      <c r="D39" s="2"/>
      <c r="E39" s="2"/>
      <c r="F39" s="17"/>
      <c r="G39" s="16"/>
      <c r="H39" s="2"/>
      <c r="I39" s="15" t="s">
        <v>44</v>
      </c>
      <c r="J39" s="20">
        <f>D17/2</f>
        <v>133.5</v>
      </c>
    </row>
    <row r="40">
      <c r="A40" s="17"/>
      <c r="B40" s="17"/>
      <c r="F40" s="17"/>
      <c r="G40" s="16"/>
      <c r="I40" s="15" t="s">
        <v>45</v>
      </c>
      <c r="J40" s="20">
        <f>D8/2</f>
        <v>0</v>
      </c>
    </row>
    <row r="41">
      <c r="A41" s="17"/>
      <c r="B41" s="17"/>
      <c r="F41" s="20"/>
      <c r="G41" s="17"/>
      <c r="I41" s="15" t="s">
        <v>46</v>
      </c>
      <c r="J41" s="20">
        <f>D24/2</f>
        <v>10</v>
      </c>
    </row>
    <row r="42">
      <c r="A42" s="17"/>
      <c r="B42" s="21"/>
      <c r="F42" s="17"/>
      <c r="G42" s="17"/>
      <c r="I42" s="15" t="s">
        <v>47</v>
      </c>
      <c r="J42" s="20">
        <f>D29/2</f>
        <v>36</v>
      </c>
    </row>
    <row r="43">
      <c r="A43" s="17" t="s">
        <v>10</v>
      </c>
      <c r="B43" s="22">
        <f>sum(B37:B42)</f>
        <v>46</v>
      </c>
      <c r="F43" s="17" t="s">
        <v>10</v>
      </c>
      <c r="G43" s="18">
        <f>sum(G37:G42)</f>
        <v>600</v>
      </c>
      <c r="I43" s="15" t="s">
        <v>48</v>
      </c>
      <c r="J43" s="20">
        <f>sum(J39:J42)</f>
        <v>179.5</v>
      </c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</sheetData>
  <drawing r:id="rId2"/>
  <legacyDrawing r:id="rId3"/>
</worksheet>
</file>